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codeName="ThisWorkbook" defaultThemeVersion="124226"/>
  <mc:AlternateContent xmlns:mc="http://schemas.openxmlformats.org/markup-compatibility/2006">
    <mc:Choice Requires="x15">
      <x15ac:absPath xmlns:x15ac="http://schemas.microsoft.com/office/spreadsheetml/2010/11/ac" url="D:\Stocks\"/>
    </mc:Choice>
  </mc:AlternateContent>
  <xr:revisionPtr revIDLastSave="0" documentId="13_ncr:1_{2E9DDF89-CD8D-4443-820A-B45301FDE765}" xr6:coauthVersionLast="45" xr6:coauthVersionMax="45" xr10:uidLastSave="{00000000-0000-0000-0000-000000000000}"/>
  <bookViews>
    <workbookView xWindow="-120" yWindow="-120" windowWidth="29040" windowHeight="15840" activeTab="2" xr2:uid="{00000000-000D-0000-FFFF-FFFF00000000}"/>
  </bookViews>
  <sheets>
    <sheet name="Overview" sheetId="1" r:id="rId1"/>
    <sheet name="Python" sheetId="2" r:id="rId2"/>
    <sheet name="Blad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11" i="2" l="1"/>
  <c r="O11" i="2"/>
  <c r="N11" i="2"/>
  <c r="M11" i="2"/>
  <c r="L11" i="2"/>
  <c r="K11" i="2"/>
  <c r="J11" i="2"/>
  <c r="I11" i="2"/>
  <c r="H11" i="2"/>
  <c r="G11" i="2"/>
  <c r="F11" i="2"/>
  <c r="E11" i="2"/>
  <c r="D11" i="2"/>
  <c r="C11" i="2"/>
  <c r="B11" i="2"/>
  <c r="P10" i="2"/>
  <c r="O10" i="2"/>
  <c r="N10" i="2"/>
  <c r="M10" i="2"/>
  <c r="L10" i="2"/>
  <c r="K10" i="2"/>
  <c r="J10" i="2"/>
  <c r="I10" i="2"/>
  <c r="H10" i="2"/>
  <c r="G10" i="2"/>
  <c r="F10" i="2"/>
  <c r="E10" i="2"/>
  <c r="D10" i="2"/>
  <c r="C10" i="2"/>
  <c r="B10" i="2"/>
  <c r="P9" i="2"/>
  <c r="O9" i="2"/>
  <c r="N9" i="2"/>
  <c r="M9" i="2"/>
  <c r="L9" i="2"/>
  <c r="K9" i="2"/>
  <c r="J9" i="2"/>
  <c r="I9" i="2"/>
  <c r="H9" i="2"/>
  <c r="G9" i="2"/>
  <c r="F9" i="2"/>
  <c r="E9" i="2"/>
  <c r="D9" i="2"/>
  <c r="C9" i="2"/>
  <c r="B9" i="2"/>
  <c r="P8" i="2"/>
  <c r="O8" i="2"/>
  <c r="N8" i="2"/>
  <c r="M8" i="2"/>
  <c r="L8" i="2"/>
  <c r="K8" i="2"/>
  <c r="J8" i="2"/>
  <c r="I8" i="2"/>
  <c r="H8" i="2"/>
  <c r="G8" i="2"/>
  <c r="F8" i="2"/>
  <c r="E8" i="2"/>
  <c r="D8" i="2"/>
  <c r="C8" i="2"/>
  <c r="B8" i="2"/>
  <c r="P7" i="2"/>
  <c r="O7" i="2"/>
  <c r="N7" i="2"/>
  <c r="M7" i="2"/>
  <c r="L7" i="2"/>
  <c r="K7" i="2"/>
  <c r="J7" i="2"/>
  <c r="I7" i="2"/>
  <c r="H7" i="2"/>
  <c r="G7" i="2"/>
  <c r="F7" i="2"/>
  <c r="E7" i="2"/>
  <c r="D7" i="2"/>
  <c r="C7" i="2"/>
  <c r="B7" i="2"/>
  <c r="P6" i="2"/>
  <c r="O6" i="2"/>
  <c r="N6" i="2"/>
  <c r="M6" i="2"/>
  <c r="L6" i="2"/>
  <c r="K6" i="2"/>
  <c r="J6" i="2"/>
  <c r="I6" i="2"/>
  <c r="H6" i="2"/>
  <c r="G6" i="2"/>
  <c r="F6" i="2"/>
  <c r="E6" i="2"/>
  <c r="D6" i="2"/>
  <c r="C6" i="2"/>
  <c r="B6" i="2"/>
  <c r="P5" i="2"/>
  <c r="O5" i="2"/>
  <c r="N5" i="2"/>
  <c r="M5" i="2"/>
  <c r="L5" i="2"/>
  <c r="K5" i="2"/>
  <c r="J5" i="2"/>
  <c r="I5" i="2"/>
  <c r="H5" i="2"/>
  <c r="G5" i="2"/>
  <c r="F5" i="2"/>
  <c r="E5" i="2"/>
  <c r="D5" i="2"/>
  <c r="C5" i="2"/>
  <c r="B5" i="2"/>
  <c r="P4" i="2"/>
  <c r="O4" i="2"/>
  <c r="N4" i="2"/>
  <c r="M4" i="2"/>
  <c r="L4" i="2"/>
  <c r="K4" i="2"/>
  <c r="J4" i="2"/>
  <c r="I4" i="2"/>
  <c r="H4" i="2"/>
  <c r="G4" i="2"/>
  <c r="F4" i="2"/>
  <c r="E4" i="2"/>
  <c r="D4" i="2"/>
  <c r="C4" i="2"/>
  <c r="B4" i="2"/>
  <c r="P3" i="2"/>
  <c r="O3" i="2"/>
  <c r="N3" i="2"/>
  <c r="M3" i="2"/>
  <c r="L3" i="2"/>
  <c r="K3" i="2"/>
  <c r="J3" i="2"/>
  <c r="I3" i="2"/>
  <c r="H3" i="2"/>
  <c r="G3" i="2"/>
  <c r="F3" i="2"/>
  <c r="E3" i="2"/>
  <c r="D3" i="2"/>
  <c r="C3" i="2"/>
  <c r="B3" i="2"/>
  <c r="P2" i="2"/>
  <c r="O2" i="2"/>
  <c r="N2" i="2"/>
  <c r="M2" i="2"/>
  <c r="L2" i="2"/>
  <c r="K2" i="2"/>
  <c r="J2" i="2"/>
  <c r="I2" i="2"/>
  <c r="H2" i="2"/>
  <c r="G2" i="2"/>
  <c r="F2" i="2"/>
  <c r="E2" i="2"/>
  <c r="D2" i="2"/>
  <c r="C2" i="2"/>
  <c r="B2" i="2"/>
  <c r="P18" i="2"/>
  <c r="O18" i="2"/>
  <c r="N18" i="2"/>
  <c r="M18" i="2"/>
  <c r="L18" i="2"/>
  <c r="K18" i="2"/>
  <c r="J18" i="2"/>
  <c r="I18" i="2"/>
  <c r="H18" i="2"/>
  <c r="G18" i="2"/>
  <c r="F18" i="2"/>
  <c r="E18" i="2"/>
  <c r="D18" i="2"/>
  <c r="C18" i="2"/>
  <c r="B18" i="2"/>
  <c r="P17" i="2"/>
  <c r="O17" i="2"/>
  <c r="N17" i="2"/>
  <c r="M17" i="2"/>
  <c r="L17" i="2"/>
  <c r="K17" i="2"/>
  <c r="J17" i="2"/>
  <c r="I17" i="2"/>
  <c r="H17" i="2"/>
  <c r="G17" i="2"/>
  <c r="F17" i="2"/>
  <c r="E17" i="2"/>
  <c r="D17" i="2"/>
  <c r="C17" i="2"/>
  <c r="B17" i="2"/>
  <c r="P16" i="2"/>
  <c r="O16" i="2"/>
  <c r="N16" i="2"/>
  <c r="M16" i="2"/>
  <c r="L16" i="2"/>
  <c r="K16" i="2"/>
  <c r="J16" i="2"/>
  <c r="I16" i="2"/>
  <c r="H16" i="2"/>
  <c r="G16" i="2"/>
  <c r="F16" i="2"/>
  <c r="E16" i="2"/>
  <c r="D16" i="2"/>
  <c r="C16" i="2"/>
  <c r="B16" i="2"/>
  <c r="P15" i="2"/>
  <c r="O15" i="2"/>
  <c r="N15" i="2"/>
  <c r="M15" i="2"/>
  <c r="L15" i="2"/>
  <c r="K15" i="2"/>
  <c r="J15" i="2"/>
  <c r="I15" i="2"/>
  <c r="H15" i="2"/>
  <c r="G15" i="2"/>
  <c r="F15" i="2"/>
  <c r="E15" i="2"/>
  <c r="D15" i="2"/>
  <c r="C15" i="2"/>
  <c r="B15" i="2"/>
  <c r="P14" i="2"/>
  <c r="O14" i="2"/>
  <c r="N14" i="2"/>
  <c r="M14" i="2"/>
  <c r="L14" i="2"/>
  <c r="K14" i="2"/>
  <c r="J14" i="2"/>
  <c r="I14" i="2"/>
  <c r="H14" i="2"/>
  <c r="G14" i="2"/>
  <c r="F14" i="2"/>
  <c r="E14" i="2"/>
  <c r="D14" i="2"/>
  <c r="C14" i="2"/>
  <c r="B14" i="2"/>
  <c r="P13" i="2"/>
  <c r="O13" i="2"/>
  <c r="N13" i="2"/>
  <c r="M13" i="2"/>
  <c r="L13" i="2"/>
  <c r="K13" i="2"/>
  <c r="J13" i="2"/>
  <c r="I13" i="2"/>
  <c r="H13" i="2"/>
  <c r="G13" i="2"/>
  <c r="F13" i="2"/>
  <c r="E13" i="2"/>
  <c r="D13" i="2"/>
  <c r="C13" i="2"/>
  <c r="B13" i="2"/>
  <c r="P12" i="2"/>
  <c r="O12" i="2"/>
  <c r="N12" i="2"/>
  <c r="M12" i="2"/>
  <c r="L12" i="2"/>
  <c r="K12" i="2"/>
  <c r="J12" i="2"/>
  <c r="I12" i="2"/>
  <c r="H12" i="2"/>
  <c r="G12" i="2"/>
  <c r="F12" i="2"/>
  <c r="E12" i="2"/>
  <c r="D12" i="2"/>
  <c r="C12" i="2"/>
  <c r="B12" i="2"/>
  <c r="N2" i="3" l="1"/>
  <c r="N3" i="3"/>
  <c r="N4" i="3"/>
  <c r="N5" i="3"/>
  <c r="N6" i="3"/>
  <c r="N7" i="3"/>
  <c r="N8" i="3"/>
  <c r="N9" i="3"/>
  <c r="N10" i="3"/>
  <c r="N11" i="3"/>
  <c r="N12" i="3"/>
  <c r="N13" i="3"/>
  <c r="N14" i="3"/>
  <c r="N15" i="3"/>
  <c r="N16" i="3"/>
  <c r="N17" i="3"/>
  <c r="N18" i="3"/>
  <c r="B2" i="3"/>
  <c r="C2" i="3"/>
  <c r="D2" i="3"/>
  <c r="E2" i="3"/>
  <c r="F2" i="3"/>
  <c r="G2" i="3"/>
  <c r="H2" i="3"/>
  <c r="I2" i="3"/>
  <c r="J2" i="3"/>
  <c r="K2" i="3"/>
  <c r="L2" i="3"/>
  <c r="M2" i="3"/>
  <c r="P2" i="3"/>
  <c r="B3" i="3"/>
  <c r="C3" i="3"/>
  <c r="D3" i="3"/>
  <c r="E3" i="3"/>
  <c r="F3" i="3"/>
  <c r="G3" i="3"/>
  <c r="H3" i="3"/>
  <c r="I3" i="3"/>
  <c r="J3" i="3"/>
  <c r="K3" i="3"/>
  <c r="L3" i="3"/>
  <c r="M3" i="3"/>
  <c r="P3" i="3"/>
  <c r="B4" i="3"/>
  <c r="C4" i="3"/>
  <c r="D4" i="3"/>
  <c r="E4" i="3"/>
  <c r="F4" i="3"/>
  <c r="G4" i="3"/>
  <c r="H4" i="3"/>
  <c r="I4" i="3"/>
  <c r="J4" i="3"/>
  <c r="K4" i="3"/>
  <c r="L4" i="3"/>
  <c r="M4" i="3"/>
  <c r="P4" i="3"/>
  <c r="B5" i="3"/>
  <c r="C5" i="3"/>
  <c r="D5" i="3"/>
  <c r="E5" i="3"/>
  <c r="F5" i="3"/>
  <c r="G5" i="3"/>
  <c r="H5" i="3"/>
  <c r="I5" i="3"/>
  <c r="J5" i="3"/>
  <c r="K5" i="3"/>
  <c r="L5" i="3"/>
  <c r="M5" i="3"/>
  <c r="P5" i="3"/>
  <c r="B6" i="3"/>
  <c r="C6" i="3"/>
  <c r="D6" i="3"/>
  <c r="E6" i="3"/>
  <c r="F6" i="3"/>
  <c r="G6" i="3"/>
  <c r="H6" i="3"/>
  <c r="I6" i="3"/>
  <c r="J6" i="3"/>
  <c r="K6" i="3"/>
  <c r="L6" i="3"/>
  <c r="M6" i="3"/>
  <c r="P6" i="3"/>
  <c r="B7" i="3"/>
  <c r="C7" i="3"/>
  <c r="D7" i="3"/>
  <c r="E7" i="3"/>
  <c r="F7" i="3"/>
  <c r="G7" i="3"/>
  <c r="H7" i="3"/>
  <c r="I7" i="3"/>
  <c r="J7" i="3"/>
  <c r="K7" i="3"/>
  <c r="L7" i="3"/>
  <c r="M7" i="3"/>
  <c r="P7" i="3"/>
  <c r="B8" i="3"/>
  <c r="C8" i="3"/>
  <c r="D8" i="3"/>
  <c r="E8" i="3"/>
  <c r="F8" i="3"/>
  <c r="G8" i="3"/>
  <c r="H8" i="3"/>
  <c r="I8" i="3"/>
  <c r="J8" i="3"/>
  <c r="K8" i="3"/>
  <c r="L8" i="3"/>
  <c r="M8" i="3"/>
  <c r="P8" i="3"/>
  <c r="B9" i="3"/>
  <c r="C9" i="3"/>
  <c r="D9" i="3"/>
  <c r="E9" i="3"/>
  <c r="F9" i="3"/>
  <c r="G9" i="3"/>
  <c r="H9" i="3"/>
  <c r="I9" i="3"/>
  <c r="J9" i="3"/>
  <c r="K9" i="3"/>
  <c r="L9" i="3"/>
  <c r="M9" i="3"/>
  <c r="P9" i="3"/>
  <c r="B10" i="3"/>
  <c r="C10" i="3"/>
  <c r="D10" i="3"/>
  <c r="E10" i="3"/>
  <c r="F10" i="3"/>
  <c r="G10" i="3"/>
  <c r="H10" i="3"/>
  <c r="I10" i="3"/>
  <c r="J10" i="3"/>
  <c r="K10" i="3"/>
  <c r="L10" i="3"/>
  <c r="M10" i="3"/>
  <c r="P10" i="3"/>
  <c r="B11" i="3"/>
  <c r="C11" i="3"/>
  <c r="D11" i="3"/>
  <c r="E11" i="3"/>
  <c r="F11" i="3"/>
  <c r="G11" i="3"/>
  <c r="H11" i="3"/>
  <c r="I11" i="3"/>
  <c r="J11" i="3"/>
  <c r="K11" i="3"/>
  <c r="L11" i="3"/>
  <c r="M11" i="3"/>
  <c r="P11" i="3"/>
  <c r="B12" i="3"/>
  <c r="C12" i="3"/>
  <c r="D12" i="3"/>
  <c r="E12" i="3"/>
  <c r="F12" i="3"/>
  <c r="G12" i="3"/>
  <c r="H12" i="3"/>
  <c r="I12" i="3"/>
  <c r="J12" i="3"/>
  <c r="K12" i="3"/>
  <c r="L12" i="3"/>
  <c r="M12" i="3"/>
  <c r="P12" i="3"/>
  <c r="B13" i="3"/>
  <c r="C13" i="3"/>
  <c r="D13" i="3"/>
  <c r="E13" i="3"/>
  <c r="F13" i="3"/>
  <c r="G13" i="3"/>
  <c r="H13" i="3"/>
  <c r="I13" i="3"/>
  <c r="J13" i="3"/>
  <c r="K13" i="3"/>
  <c r="L13" i="3"/>
  <c r="M13" i="3"/>
  <c r="P13" i="3"/>
  <c r="B14" i="3"/>
  <c r="C14" i="3"/>
  <c r="D14" i="3"/>
  <c r="E14" i="3"/>
  <c r="F14" i="3"/>
  <c r="G14" i="3"/>
  <c r="H14" i="3"/>
  <c r="I14" i="3"/>
  <c r="J14" i="3"/>
  <c r="K14" i="3"/>
  <c r="L14" i="3"/>
  <c r="M14" i="3"/>
  <c r="P14" i="3"/>
  <c r="B15" i="3"/>
  <c r="C15" i="3"/>
  <c r="D15" i="3"/>
  <c r="E15" i="3"/>
  <c r="F15" i="3"/>
  <c r="G15" i="3"/>
  <c r="H15" i="3"/>
  <c r="I15" i="3"/>
  <c r="J15" i="3"/>
  <c r="K15" i="3"/>
  <c r="L15" i="3"/>
  <c r="M15" i="3"/>
  <c r="P15" i="3"/>
  <c r="B16" i="3"/>
  <c r="C16" i="3"/>
  <c r="D16" i="3"/>
  <c r="E16" i="3"/>
  <c r="F16" i="3"/>
  <c r="G16" i="3"/>
  <c r="H16" i="3"/>
  <c r="I16" i="3"/>
  <c r="J16" i="3"/>
  <c r="K16" i="3"/>
  <c r="L16" i="3"/>
  <c r="M16" i="3"/>
  <c r="P16" i="3"/>
  <c r="B17" i="3"/>
  <c r="C17" i="3"/>
  <c r="D17" i="3"/>
  <c r="E17" i="3"/>
  <c r="F17" i="3"/>
  <c r="G17" i="3"/>
  <c r="H17" i="3"/>
  <c r="I17" i="3"/>
  <c r="J17" i="3"/>
  <c r="K17" i="3"/>
  <c r="L17" i="3"/>
  <c r="M17" i="3"/>
  <c r="P17" i="3"/>
  <c r="B18" i="3"/>
  <c r="C18" i="3"/>
  <c r="D18" i="3"/>
  <c r="E18" i="3"/>
  <c r="F18" i="3"/>
  <c r="G18" i="3"/>
  <c r="H18" i="3"/>
  <c r="I18" i="3"/>
  <c r="J18" i="3"/>
  <c r="K18" i="3"/>
  <c r="L18" i="3"/>
  <c r="M18" i="3"/>
  <c r="P18" i="3"/>
  <c r="N21" i="1" l="1"/>
  <c r="B21" i="1"/>
  <c r="C21" i="1"/>
  <c r="F21" i="1"/>
  <c r="E21" i="1"/>
  <c r="D21" i="1"/>
  <c r="O2" i="1"/>
  <c r="O7" i="3" s="1"/>
  <c r="M21" i="1"/>
  <c r="L21" i="1"/>
  <c r="K21" i="1"/>
  <c r="J21" i="1"/>
  <c r="I21" i="1"/>
  <c r="H21" i="1"/>
  <c r="G21" i="1"/>
  <c r="P9" i="1" l="1" a="1"/>
  <c r="P9" i="1" s="1"/>
  <c r="P8" i="1" a="1"/>
  <c r="P8" i="1" s="1"/>
  <c r="P19" i="1" a="1"/>
  <c r="P19" i="1" s="1"/>
  <c r="P3" i="1" a="1"/>
  <c r="P3" i="1" s="1"/>
  <c r="P2" i="1" a="1"/>
  <c r="P2" i="1" s="1"/>
  <c r="P5" i="1" a="1"/>
  <c r="P5" i="1" s="1"/>
  <c r="P10" i="1" a="1"/>
  <c r="P10" i="1" s="1"/>
  <c r="P4" i="1" a="1"/>
  <c r="P4" i="1" s="1"/>
  <c r="P11" i="1" a="1"/>
  <c r="P11" i="1" s="1"/>
  <c r="P6" i="1" a="1"/>
  <c r="P6" i="1" s="1"/>
  <c r="P7" i="1" a="1"/>
  <c r="P7" i="1" s="1"/>
  <c r="P12" i="1" a="1"/>
  <c r="P12" i="1" s="1"/>
  <c r="P13" i="1" a="1"/>
  <c r="P13" i="1" s="1"/>
  <c r="P14" i="1" a="1"/>
  <c r="P14" i="1" s="1"/>
  <c r="P15" i="1" a="1"/>
  <c r="P15" i="1" s="1"/>
  <c r="P16" i="1" a="1"/>
  <c r="P16" i="1" s="1"/>
  <c r="P17" i="1" a="1"/>
  <c r="P17" i="1" s="1"/>
  <c r="P18" i="1" a="1"/>
  <c r="P18" i="1" s="1"/>
  <c r="O8" i="1"/>
  <c r="O5" i="3" s="1"/>
  <c r="O3" i="1"/>
  <c r="O3" i="3" s="1"/>
  <c r="O5" i="1"/>
  <c r="O9" i="3" s="1"/>
  <c r="O10" i="1"/>
  <c r="O10" i="3" s="1"/>
  <c r="O9" i="1"/>
  <c r="O11" i="3" s="1"/>
  <c r="O4" i="1"/>
  <c r="O11" i="1"/>
  <c r="O6" i="1"/>
  <c r="O7" i="1"/>
  <c r="O8" i="3" s="1"/>
  <c r="O12" i="1"/>
  <c r="O6" i="3" s="1"/>
  <c r="O13" i="1"/>
  <c r="O14" i="1"/>
  <c r="O15" i="1"/>
  <c r="O16" i="1"/>
  <c r="O17" i="1"/>
  <c r="O2" i="3" s="1"/>
  <c r="O18" i="1"/>
  <c r="O4" i="3" s="1"/>
  <c r="O19" i="1"/>
  <c r="O15" i="3" l="1"/>
  <c r="O12" i="3"/>
  <c r="O14" i="3"/>
  <c r="O17" i="3"/>
  <c r="O16" i="3"/>
  <c r="O13" i="3"/>
  <c r="O18" i="3"/>
  <c r="O21" i="1"/>
  <c r="U2" i="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6"/>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52"/>
        </ext>
      </extLst>
    </bk>
    <bk>
      <extLst>
        <ext uri="{3e2802c4-a4d2-4d8b-9148-e3be6c30e623}">
          <xlrd:rvb i="55"/>
        </ext>
      </extLst>
    </bk>
    <bk>
      <extLst>
        <ext uri="{3e2802c4-a4d2-4d8b-9148-e3be6c30e623}">
          <xlrd:rvb i="61"/>
        </ext>
      </extLst>
    </bk>
    <bk>
      <extLst>
        <ext uri="{3e2802c4-a4d2-4d8b-9148-e3be6c30e623}">
          <xlrd:rvb i="64"/>
        </ext>
      </extLst>
    </bk>
    <bk>
      <extLst>
        <ext uri="{3e2802c4-a4d2-4d8b-9148-e3be6c30e623}">
          <xlrd:rvb i="70"/>
        </ext>
      </extLst>
    </bk>
    <bk>
      <extLst>
        <ext uri="{3e2802c4-a4d2-4d8b-9148-e3be6c30e623}">
          <xlrd:rvb i="77"/>
        </ext>
      </extLst>
    </bk>
    <bk>
      <extLst>
        <ext uri="{3e2802c4-a4d2-4d8b-9148-e3be6c30e623}">
          <xlrd:rvb i="83"/>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<sst xmlns="http://schemas.openxmlformats.org/spreadsheetml/2006/main" count="84" uniqueCount="35">
  <si>
    <t>Feb</t>
  </si>
  <si>
    <t>Jan</t>
  </si>
  <si>
    <t>Mar</t>
  </si>
  <si>
    <t>Apr</t>
  </si>
  <si>
    <t>Maj</t>
  </si>
  <si>
    <t>Jun</t>
  </si>
  <si>
    <t>Jul</t>
  </si>
  <si>
    <t>Aug</t>
  </si>
  <si>
    <t>Sep</t>
  </si>
  <si>
    <t>Okt</t>
  </si>
  <si>
    <t>Nov</t>
  </si>
  <si>
    <t>Dec</t>
  </si>
  <si>
    <t>antal aktier</t>
  </si>
  <si>
    <t>Total utdelning</t>
  </si>
  <si>
    <t>Aktie</t>
  </si>
  <si>
    <t>total utdelning</t>
  </si>
  <si>
    <t>Previous close</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</si>
  <si>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</si>
  <si>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</si>
  <si>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</si>
  <si>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</si>
  <si>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</si>
  <si>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</si>
  <si>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</si>
  <si>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</si>
  <si>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</si>
  <si>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</si>
  <si>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</si>
  <si>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</si>
  <si>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</si>
  <si>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</si>
  <si>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</si>
  <si>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</si>
  <si>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</si>
  <si>
    <t>årlig utd.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</si>
</sst>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_([$$-409]* #,##0.00_);_([$$-409]* \(#,##0.00\);_([$$-409]* &quot;-&quot;??_);_(@_)"/>
    <numFmt numFmtId="168"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6">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5">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cellStyleXfs>
  <cellXfs count="21">
    <xf numFmtId="0" fontId="0" fillId="0" borderId="0" xfId="0"/>
    <xf numFmtId="0" fontId="1" fillId="3" borderId="1" xfId="2" applyBorder="1"/>
    <xf numFmtId="0" fontId="1" fillId="4" borderId="1" xfId="3" applyBorder="1"/>
    <xf numFmtId="0" fontId="1" fillId="5" borderId="1" xfId="4" applyBorder="1"/>
    <xf numFmtId="0" fontId="1" fillId="3" borderId="2" xfId="2" applyBorder="1" applyAlignment="1">
      <alignment horizontal="left" vertical="top"/>
    </xf>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0" fontId="1" fillId="3" borderId="5" xfId="2" applyBorder="1" applyAlignment="1">
      <alignment horizontal="left"/>
    </xf>
    <xf numFmtId="0" fontId="1" fillId="3" borderId="6" xfId="2" applyBorder="1"/>
    <xf numFmtId="0" fontId="1" fillId="4" borderId="6" xfId="3" applyBorder="1"/>
    <xf numFmtId="168" fontId="1" fillId="4" borderId="4" xfId="3" applyNumberFormat="1" applyBorder="1"/>
    <xf numFmtId="166" fontId="1" fillId="4" borderId="1" xfId="3" applyNumberFormat="1" applyBorder="1"/>
    <xf numFmtId="168" fontId="1" fillId="4" borderId="1" xfId="3" applyNumberFormat="1" applyBorder="1"/>
    <xf numFmtId="0" fontId="5" fillId="2" borderId="1" xfId="1" applyFont="1" applyFill="1" applyBorder="1"/>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xf numFmtId="0" fontId="0" fillId="5" borderId="1" xfId="4" applyFont="1" applyBorder="1"/>
  </cellXfs>
  <cellStyles count="5">
    <cellStyle name="20 % - Dekorfärg4" xfId="4" builtinId="42"/>
    <cellStyle name="40 % - Dekorfärg3" xfId="2" builtinId="39"/>
    <cellStyle name="60 % - Dekorfärg3" xfId="3" builtinId="40"/>
    <cellStyle name="Neutral" xfId="1" builtinId="28"/>
    <cellStyle name="Normal" xfId="0" builtinId="0"/>
  </cellStyles>
  <dxfs count="20">
    <dxf>
      <numFmt numFmtId="168" formatCode="_-* #,##0.00\ [$kr-41D]_-;\-* #,##0.00\ [$kr-41D]_-;_-* &quot;-&quot;??\ [$kr-41D]_-;_-@_-"/>
      <border diagonalUp="0" diagonalDown="0">
        <left style="thin">
          <color auto="1"/>
        </left>
        <right style="thin">
          <color auto="1"/>
        </right>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Utdelning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1D9-4F1A-81C9-44595E30DBB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1D9-4F1A-81C9-44595E30DBB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1D9-4F1A-81C9-44595E30DBB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1D9-4F1A-81C9-44595E30DBB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1D9-4F1A-81C9-44595E30DBB3}"/>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1D9-4F1A-81C9-44595E30DBB3}"/>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1D9-4F1A-81C9-44595E30DBB3}"/>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1D9-4F1A-81C9-44595E30DBB3}"/>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1D9-4F1A-81C9-44595E30DBB3}"/>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1D9-4F1A-81C9-44595E30DBB3}"/>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1D9-4F1A-81C9-44595E30DBB3}"/>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1D9-4F1A-81C9-44595E30DBB3}"/>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1D9-4F1A-81C9-44595E30DBB3}"/>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1D9-4F1A-81C9-44595E30DBB3}"/>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1D9-4F1A-81C9-44595E30DBB3}"/>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1D9-4F1A-81C9-44595E30DBB3}"/>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1D9-4F1A-81C9-44595E30DBB3}"/>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1D9-4F1A-81C9-44595E30DBB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Overview!$O$2:$O$19</c:f>
              <c:numCache>
                <c:formatCode>General</c:formatCode>
                <c:ptCount val="18"/>
                <c:pt idx="0">
                  <c:v>1.5</c:v>
                </c:pt>
                <c:pt idx="1">
                  <c:v>9.6999999999999993</c:v>
                </c:pt>
                <c:pt idx="2">
                  <c:v>12</c:v>
                </c:pt>
                <c:pt idx="3">
                  <c:v>2</c:v>
                </c:pt>
                <c:pt idx="4">
                  <c:v>8</c:v>
                </c:pt>
                <c:pt idx="5">
                  <c:v>7</c:v>
                </c:pt>
                <c:pt idx="6">
                  <c:v>24</c:v>
                </c:pt>
                <c:pt idx="7">
                  <c:v>20</c:v>
                </c:pt>
                <c:pt idx="8">
                  <c:v>2.25</c:v>
                </c:pt>
                <c:pt idx="9">
                  <c:v>22</c:v>
                </c:pt>
                <c:pt idx="10">
                  <c:v>8</c:v>
                </c:pt>
                <c:pt idx="11">
                  <c:v>2.2000000000000002</c:v>
                </c:pt>
                <c:pt idx="12">
                  <c:v>0</c:v>
                </c:pt>
                <c:pt idx="13">
                  <c:v>0</c:v>
                </c:pt>
                <c:pt idx="14">
                  <c:v>0</c:v>
                </c:pt>
                <c:pt idx="15">
                  <c:v>14</c:v>
                </c:pt>
                <c:pt idx="16">
                  <c:v>26.5</c:v>
                </c:pt>
                <c:pt idx="17">
                  <c:v>1.84</c:v>
                </c:pt>
              </c:numCache>
            </c:numRef>
          </c:val>
          <c:extLst>
            <c:ext xmlns:c16="http://schemas.microsoft.com/office/drawing/2014/chart" uri="{C3380CC4-5D6E-409C-BE32-E72D297353CC}">
              <c16:uniqueId val="{00000000-5B3A-42B6-8651-A1559ACDCF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Innehav</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E1F-4A13-AA9F-C5566D9465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E1F-4A13-AA9F-C5566D9465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E1F-4A13-AA9F-C5566D9465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E1F-4A13-AA9F-C5566D94650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E1F-4A13-AA9F-C5566D94650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E1F-4A13-AA9F-C5566D94650A}"/>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E1F-4A13-AA9F-C5566D94650A}"/>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E1F-4A13-AA9F-C5566D94650A}"/>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E1F-4A13-AA9F-C5566D94650A}"/>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E1F-4A13-AA9F-C5566D94650A}"/>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E1F-4A13-AA9F-C5566D94650A}"/>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E1F-4A13-AA9F-C5566D94650A}"/>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E1F-4A13-AA9F-C5566D94650A}"/>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E1F-4A13-AA9F-C5566D94650A}"/>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E1F-4A13-AA9F-C5566D94650A}"/>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E1F-4A13-AA9F-C5566D94650A}"/>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E1F-4A13-AA9F-C5566D94650A}"/>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E1F-4A13-AA9F-C5566D94650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Overview!$N$2:$N$19</c:f>
              <c:numCache>
                <c:formatCode>General</c:formatCode>
                <c:ptCount val="18"/>
                <c:pt idx="0">
                  <c:v>1</c:v>
                </c:pt>
                <c:pt idx="1">
                  <c:v>1</c:v>
                </c:pt>
                <c:pt idx="2">
                  <c:v>1</c:v>
                </c:pt>
                <c:pt idx="3">
                  <c:v>1</c:v>
                </c:pt>
                <c:pt idx="4">
                  <c:v>1</c:v>
                </c:pt>
                <c:pt idx="5">
                  <c:v>1</c:v>
                </c:pt>
                <c:pt idx="6">
                  <c:v>1</c:v>
                </c:pt>
                <c:pt idx="7">
                  <c:v>1</c:v>
                </c:pt>
                <c:pt idx="8">
                  <c:v>1</c:v>
                </c:pt>
                <c:pt idx="9">
                  <c:v>1</c:v>
                </c:pt>
                <c:pt idx="10">
                  <c:v>1</c:v>
                </c:pt>
                <c:pt idx="11">
                  <c:v>1</c:v>
                </c:pt>
                <c:pt idx="12">
                  <c:v>0</c:v>
                </c:pt>
                <c:pt idx="13">
                  <c:v>0</c:v>
                </c:pt>
                <c:pt idx="14">
                  <c:v>0</c:v>
                </c:pt>
                <c:pt idx="15">
                  <c:v>1</c:v>
                </c:pt>
                <c:pt idx="16">
                  <c:v>1</c:v>
                </c:pt>
                <c:pt idx="17">
                  <c:v>1</c:v>
                </c:pt>
              </c:numCache>
            </c:numRef>
          </c:val>
          <c:extLst>
            <c:ext xmlns:c16="http://schemas.microsoft.com/office/drawing/2014/chart" uri="{C3380CC4-5D6E-409C-BE32-E72D297353CC}">
              <c16:uniqueId val="{00000000-75F5-40D9-8FDE-D4CD731635B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183696</xdr:colOff>
      <xdr:row>22</xdr:row>
      <xdr:rowOff>6802</xdr:rowOff>
    </xdr:from>
    <xdr:to>
      <xdr:col>11</xdr:col>
      <xdr:colOff>141514</xdr:colOff>
      <xdr:row>43</xdr:row>
      <xdr:rowOff>149677</xdr:rowOff>
    </xdr:to>
    <xdr:graphicFrame macro="">
      <xdr:nvGraphicFramePr>
        <xdr:cNvPr id="4" name="Diagram 3">
          <a:extLst>
            <a:ext uri="{FF2B5EF4-FFF2-40B4-BE49-F238E27FC236}">
              <a16:creationId xmlns:a16="http://schemas.microsoft.com/office/drawing/2014/main" id="{CED28500-37B1-454B-9436-D3A5C01D2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415016</xdr:colOff>
      <xdr:row>21</xdr:row>
      <xdr:rowOff>186417</xdr:rowOff>
    </xdr:from>
    <xdr:to>
      <xdr:col>20</xdr:col>
      <xdr:colOff>394607</xdr:colOff>
      <xdr:row>43</xdr:row>
      <xdr:rowOff>176893</xdr:rowOff>
    </xdr:to>
    <xdr:graphicFrame macro="">
      <xdr:nvGraphicFramePr>
        <xdr:cNvPr id="5" name="Diagram 4">
          <a:extLst>
            <a:ext uri="{FF2B5EF4-FFF2-40B4-BE49-F238E27FC236}">
              <a16:creationId xmlns:a16="http://schemas.microsoft.com/office/drawing/2014/main" id="{9F72B9A7-3AD7-4F02-8AAF-9C579DFC9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http://en.wikipedia.org/wiki/Public_domain</v>
    <v>Public domain</v>
  </rv>
  <rv s="0">
    <v>http://en.wikipedia.org/wiki/Ericsson</v>
    <v>Wikipedia</v>
  </rv>
  <rv s="1">
    <v>0</v>
    <v>1</v>
  </rv>
  <rv s="2">
    <v>Powered by Refinitiv</v>
    <v>6</v>
    <v>https://www.bing.com/th?id=AMMS_a7bbcf0fee31ae26f887a64a8aa6bd95&amp;qlt=95</v>
    <v>2</v>
    <v>https://www.bing.com/images/search?form=xlimg&amp;q=ericsson</v>
    <v>Image of Telefonaktiebolaget LM Ericsson</v>
    <v/>
  </rv>
  <rv s="0">
    <v>https://www.bing.com/financeapi/forcetrigger?t=amwif2&amp;q=XSTO%3aERIC+B&amp;form=skydnc</v>
    <v>Learn more on Bing</v>
  </rv>
  <rv s="3">
    <v>en-US</v>
    <v>amwif2</v>
    <v>268435456</v>
    <v>268435457</v>
    <v>1</v>
    <v>Powered by Refinitiv</v>
    <v>0</v>
    <v>Telefonaktiebolaget LM Ericsson (XSTO:ERIC B)</v>
    <v>3</v>
    <v>4</v>
    <v>Finance</v>
    <v>5</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3</v>
    <v>Communications &amp; Networking</v>
    <v>Stock</v>
    <v>44025.666666666664</v>
    <v>4</v>
    <v>86.22</v>
    <v>290139700000</v>
    <v>Telefonaktiebolaget LM Ericsson</v>
    <v>Telefonaktiebolaget LM Ericsson</v>
    <v>86.72</v>
    <v>139.99</v>
    <v>86.46</v>
    <v>87.8</v>
    <v>87.8</v>
    <v>3334152000</v>
    <v>ERIC B</v>
    <v>Telefonaktiebolaget LM Ericsson (XSTO:ERIC B)</v>
    <v>4786090</v>
  </rv>
  <rv s="4">
    <v>5</v>
  </rv>
  <rv s="0">
    <v>http://en.wikipedia.org/wiki/H&amp;M</v>
    <v>Wikipedia</v>
  </rv>
  <rv s="1">
    <v>0</v>
    <v>7</v>
  </rv>
  <rv s="2">
    <v>Powered by Refinitiv</v>
    <v>6</v>
    <v>https://www.bing.com/th?id=AMMS_49aa44dce555e968f8570942e0a037aa&amp;qlt=95</v>
    <v>8</v>
    <v>https://www.bing.com/images/search?form=xlimg&amp;q=h%26m</v>
    <v>Image of H &amp; M Hennes &amp; Mauritz AB</v>
    <v/>
  </rv>
  <rv s="0">
    <v>https://www.bing.com/financeapi/forcetrigger?t=amwn2w&amp;q=XSTO%3aHM+B&amp;form=skydnc</v>
    <v>Learn more on Bing</v>
  </rv>
  <rv s="3">
    <v>en-US</v>
    <v>amwn2w</v>
    <v>268435456</v>
    <v>268435457</v>
    <v>1</v>
    <v>Powered by Refinitiv</v>
    <v>0</v>
    <v>H &amp; M Hennes &amp; Mauritz AB (XSTO:HM B)</v>
    <v>3</v>
    <v>4</v>
    <v>Finance</v>
    <v>5</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4">
    <v>11</v>
  </rv>
  <rv s="0">
    <v>http://de.wikipedia.org/wiki/Investor_AB</v>
    <v>Wikipedia</v>
  </rv>
  <rv s="1">
    <v>0</v>
    <v>13</v>
  </rv>
  <rv s="2">
    <v>Powered by Refinitiv</v>
    <v>6</v>
    <v>https://www.bing.com/th?id=AMMS_fc6f4e6d6b085c143f2892c35e7a85ba&amp;qlt=95</v>
    <v>14</v>
    <v>https://www.bing.com/images/search?form=xlimg&amp;q=investor+ab</v>
    <v>Image of Investor AB</v>
    <v/>
  </rv>
  <rv s="0">
    <v>https://www.bing.com/financeapi/forcetrigger?t=amwpzr&amp;q=XSTO%3aINVE+B&amp;form=skydnc</v>
    <v>Learn more on Bing</v>
  </rv>
  <rv s="5">
    <v>en-US</v>
    <v>amwpzr</v>
    <v>268435456</v>
    <v>268435457</v>
    <v>1</v>
    <v>Powered by Refinitiv</v>
    <v>7</v>
    <v>Investor AB (XSTO:INVE B)</v>
    <v>3</v>
    <v>8</v>
    <v>Finance</v>
    <v>5</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15</v>
    <v>Holding Companies</v>
    <v>Stock</v>
    <v>44025.666666666664</v>
    <v>16</v>
    <v>507.6</v>
    <v>387034900000</v>
    <v>Investor AB</v>
    <v>Investor AB</v>
    <v>511</v>
    <v>9.3699999999999992</v>
    <v>506.2</v>
    <v>515.4</v>
    <v>515.4</v>
    <v>767175000</v>
    <v>INVE B</v>
    <v>Investor AB (XSTO:INVE B)</v>
    <v>894750</v>
  </rv>
  <rv s="4">
    <v>17</v>
  </rv>
  <rv s="0">
    <v>https://www.bing.com/financeapi/forcetrigger?t=amx5rw&amp;q=XSTO%3aRATO+B&amp;form=skydnc</v>
    <v>Learn more on Bing</v>
  </rv>
  <rv s="6">
    <v>en-US</v>
    <v>amx5rw</v>
    <v>268435456</v>
    <v>268435457</v>
    <v>1</v>
    <v>Powered by Refinitiv</v>
    <v>9</v>
    <v>Ratos AB (XSTO:RATO B)</v>
    <v>10</v>
    <v>11</v>
    <v>Finance</v>
    <v>5</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19</v>
    <v>26.38</v>
    <v>8715573000</v>
    <v>Ratos AB</v>
    <v>Ratos AB</v>
    <v>26.5</v>
    <v>71.510000000000005</v>
    <v>26.46</v>
    <v>26.92</v>
    <v>26.92</v>
    <v>324140900</v>
    <v>RATO B</v>
    <v>Ratos AB (XSTO:RATO B)</v>
    <v>437940</v>
  </rv>
  <rv s="4">
    <v>20</v>
  </rv>
  <rv s="0">
    <v>https://creativecommons.org/licenses/by/4.0</v>
    <v>CC BY 4.0</v>
  </rv>
  <rv s="0">
    <v>http://en.wikipedia.org/wiki/Kinnevik_AB</v>
    <v>Wikipedia</v>
  </rv>
  <rv s="1">
    <v>22</v>
    <v>23</v>
  </rv>
  <rv s="2">
    <v>Powered by Refinitiv</v>
    <v>6</v>
    <v>https://www.bing.com/th?id=AMMS_91527f154a43f44fef65f55713150b01&amp;qlt=95</v>
    <v>24</v>
    <v>https://www.bing.com/images/search?form=xlimg&amp;q=investment+ab+kinnevik</v>
    <v>Image of Kinnevik AB</v>
    <v/>
  </rv>
  <rv s="0">
    <v>https://www.bing.com/financeapi/forcetrigger?t=amwsdm&amp;q=XSTO%3aKINV+B&amp;form=skydnc</v>
    <v>Learn more on Bing</v>
  </rv>
  <rv s="3">
    <v>en-US</v>
    <v>amwsdm</v>
    <v>268435456</v>
    <v>268435457</v>
    <v>1</v>
    <v>Powered by Refinitiv</v>
    <v>0</v>
    <v>Kinnevik AB (XSTO:KINV B)</v>
    <v>3</v>
    <v>4</v>
    <v>Finance</v>
    <v>5</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25</v>
    <v>Holding Companies</v>
    <v>Stock</v>
    <v>44025.666666666664</v>
    <v>26</v>
    <v>269.2</v>
    <v>72640410000</v>
    <v>Kinnevik AB</v>
    <v>Kinnevik AB</v>
    <v>270.39999999999998</v>
    <v>2.38</v>
    <v>263.3</v>
    <v>279</v>
    <v>279</v>
    <v>275666600</v>
    <v>KINV B</v>
    <v>Kinnevik AB (XSTO:KINV B)</v>
    <v>1143100</v>
  </rv>
  <rv s="4">
    <v>27</v>
  </rv>
  <rv s="0">
    <v>https://www.bing.com/financeapi/forcetrigger?t=bho627&amp;q=XSTO%3aVASLOG&amp;form=skydnc</v>
    <v>Learn more on Bing</v>
  </rv>
  <rv s="7">
    <v>en-US</v>
    <v>bho627</v>
    <v>268435456</v>
    <v>268435457</v>
    <v>1</v>
    <v>Powered by Refinitiv</v>
    <v>12</v>
    <v>Vastsvensk Logistik AB (publ) (XSTO:VASLOG)</v>
    <v>10</v>
    <v>13</v>
    <v>Finance</v>
    <v>14</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29</v>
    <v>73</v>
    <v>196000000</v>
    <v>Vastsvensk Logistik AB (publ)</v>
    <v>Vastsvensk Logistik AB (publ)</v>
    <v>78</v>
    <v>80</v>
    <v>80.5</v>
    <v>80.5</v>
    <v>2450000</v>
    <v>VASLOG</v>
    <v>Vastsvensk Logistik AB (publ) (XSTO:VASLOG)</v>
    <v>736</v>
  </rv>
  <rv s="4">
    <v>30</v>
  </rv>
  <rv s="0">
    <v>https://www.bing.com/financeapi/forcetrigger?t=a1z5cw&amp;q=XNYS%3aOHI&amp;form=skydnc</v>
    <v>Learn more on Bing</v>
  </rv>
  <rv s="8">
    <v>en-US</v>
    <v>a1z5cw</v>
    <v>268435456</v>
    <v>268435457</v>
    <v>1</v>
    <v>Powered by Refinitiv</v>
    <v>15</v>
    <v>OMEGA HEALTHCARE INVESTORS, INC. (XNYS:OHI)</v>
    <v>10</v>
    <v>16</v>
    <v>Finance</v>
    <v>17</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32</v>
    <v>30.02</v>
    <v>6936385000</v>
    <v>OMEGA HEALTHCARE INVESTORS, INC.</v>
    <v>OMEGA HEALTHCARE INVESTORS, INC.</v>
    <v>30.47</v>
    <v>19.2407</v>
    <v>30.57</v>
    <v>30.375</v>
    <v>226901700</v>
    <v>OHI</v>
    <v>OMEGA HEALTHCARE INVESTORS, INC. (XNYS:OHI)</v>
    <v>1418406</v>
    <v>2841702</v>
    <v>1992</v>
  </rv>
  <rv s="4">
    <v>33</v>
  </rv>
  <rv s="0">
    <v>http://tr.wikipedia.org/wiki/AT&amp;T</v>
    <v>Wikipedia</v>
  </rv>
  <rv s="1">
    <v>0</v>
    <v>35</v>
  </rv>
  <rv s="2">
    <v>Powered by Refinitiv</v>
    <v>6</v>
    <v>https://www.bing.com/th?id=AMMS_22edc37b3d4ca713a66f23973844e621&amp;qlt=95</v>
    <v>36</v>
    <v>https://www.bing.com/images/search?form=xlimg&amp;q=at%26t</v>
    <v>Image of AT&amp;T INC.</v>
    <v/>
  </rv>
  <rv s="0">
    <v>https://www.bing.com/financeapi/forcetrigger?t=a23www&amp;q=XNYS%3aT&amp;form=skydnc</v>
    <v>Learn more on Bing</v>
  </rv>
  <rv s="9">
    <v>en-US</v>
    <v>a23www</v>
    <v>268435456</v>
    <v>268435457</v>
    <v>1</v>
    <v>Powered by Refinitiv</v>
    <v>18</v>
    <v>AT&amp;T INC. (XNYS:T)</v>
    <v>3</v>
    <v>19</v>
    <v>Finance</v>
    <v>17</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37</v>
    <v>Telecommunications Services</v>
    <v>Stock</v>
    <v>44025.749424062502</v>
    <v>38</v>
    <v>29.72</v>
    <v>214676300000</v>
    <v>AT&amp;T INC.</v>
    <v>AT&amp;T INC.</v>
    <v>30.17</v>
    <v>15.328200000000001</v>
    <v>30.13</v>
    <v>29.895</v>
    <v>7125000000</v>
    <v>T</v>
    <v>AT&amp;T INC. (XNYS:T)</v>
    <v>19469504</v>
    <v>40678800</v>
    <v>1983</v>
  </rv>
  <rv s="4">
    <v>39</v>
  </rv>
  <rv s="0">
    <v>https://www.bing.com/financeapi/forcetrigger?t=amwtcw&amp;q=XSTO%3aLATO+B&amp;form=skydnc</v>
    <v>Learn more on Bing</v>
  </rv>
  <rv s="6">
    <v>en-US</v>
    <v>amwtcw</v>
    <v>268435456</v>
    <v>268435457</v>
    <v>1</v>
    <v>Powered by Refinitiv</v>
    <v>9</v>
    <v>Investment AB Latour (XSTO:LATO B)</v>
    <v>10</v>
    <v>11</v>
    <v>Finance</v>
    <v>5</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41</v>
    <v>172.1</v>
    <v>102035700000</v>
    <v>Investment AB Latour</v>
    <v>Investment AB Latour</v>
    <v>173.8</v>
    <v>30.34</v>
    <v>172.3</v>
    <v>175.5</v>
    <v>175.5</v>
    <v>592197800</v>
    <v>LATO B</v>
    <v>Investment AB Latour (XSTO:LATO B)</v>
    <v>228496</v>
  </rv>
  <rv s="4">
    <v>42</v>
  </rv>
  <rv s="0">
    <v>https://www.bing.com/financeapi/forcetrigger?t=amw4m7&amp;q=XSTO%3aALIV+SDB&amp;form=skydnc</v>
    <v>Learn more on Bing</v>
  </rv>
  <rv s="10">
    <v>en-US</v>
    <v>amw4m7</v>
    <v>268435456</v>
    <v>268435457</v>
    <v>1</v>
    <v>Powered by Refinitiv</v>
    <v>20</v>
    <v>AUTOLIV, INC. (XSTO:ALIV SDB)</v>
    <v>10</v>
    <v>21</v>
    <v>Finance</v>
    <v>5</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44</v>
    <v>600.20000000000005</v>
    <v>52552960000</v>
    <v>AUTOLIV, INC.</v>
    <v>AUTOLIV, INC.</v>
    <v>603</v>
    <v>10.62</v>
    <v>595</v>
    <v>604</v>
    <v>604</v>
    <v>87331790</v>
    <v>ALIV SDB</v>
    <v>AUTOLIV, INC. (XSTO:ALIV SDB)</v>
    <v>306862</v>
    <v>1996</v>
  </rv>
  <rv s="4">
    <v>45</v>
  </rv>
  <rv s="0">
    <v>http://en.wikipedia.org/wiki/NCC_(company)</v>
    <v>Wikipedia</v>
  </rv>
  <rv s="1">
    <v>0</v>
    <v>47</v>
  </rv>
  <rv s="2">
    <v>Powered by Refinitiv</v>
    <v>6</v>
    <v>https://www.bing.com/th?id=AMMS_9ac417b9b0065d55837f5565b53ff1d3&amp;qlt=95</v>
    <v>48</v>
    <v>https://www.bing.com/images/search?form=xlimg&amp;q=ncc+ab</v>
    <v>Image of NCC AB</v>
    <v/>
  </rv>
  <rv s="0">
    <v>https://www.bing.com/financeapi/forcetrigger?t=amwy9c&amp;q=XSTO%3aNCC+B&amp;form=skydnc</v>
    <v>Learn more on Bing</v>
  </rv>
  <rv s="3">
    <v>en-US</v>
    <v>amwy9c</v>
    <v>268435456</v>
    <v>268435457</v>
    <v>1</v>
    <v>Powered by Refinitiv</v>
    <v>0</v>
    <v>NCC AB (XSTO:NCC B)</v>
    <v>3</v>
    <v>4</v>
    <v>Finance</v>
    <v>5</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49</v>
    <v>Construction &amp; Engineering</v>
    <v>Stock</v>
    <v>44025.666666666664</v>
    <v>50</v>
    <v>161.5</v>
    <v>17451670000</v>
    <v>NCC AB</v>
    <v>NCC AB</v>
    <v>162.30000000000001</v>
    <v>28.53</v>
    <v>161</v>
    <v>163</v>
    <v>163</v>
    <v>108435800</v>
    <v>NCC B</v>
    <v>NCC AB (XSTO:NCC B)</v>
    <v>85235</v>
  </rv>
  <rv s="4">
    <v>51</v>
  </rv>
  <rv s="0">
    <v>https://www.bing.com/financeapi/forcetrigger?t=brkdoc&amp;q=XSTO%3aEQT&amp;form=skydnc</v>
    <v>Learn more on Bing</v>
  </rv>
  <rv s="11">
    <v>en-US</v>
    <v>brkdoc</v>
    <v>268435456</v>
    <v>268435457</v>
    <v>1</v>
    <v>Powered by Refinitiv</v>
    <v>22</v>
    <v>EQT AB (XSTO:EQT)</v>
    <v>10</v>
    <v>23</v>
    <v>Finance</v>
    <v>5</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53</v>
    <v>183.2</v>
    <v>175014600000</v>
    <v>EQT AB</v>
    <v>EQT AB</v>
    <v>186</v>
    <v>94.02</v>
    <v>184.4</v>
    <v>188.5</v>
    <v>188.5</v>
    <v>952983900</v>
    <v>EQT</v>
    <v>EQT AB (XSTO:EQT)</v>
    <v>600826</v>
  </rv>
  <rv s="4">
    <v>54</v>
  </rv>
  <rv s="0">
    <v>http://en.wikipedia.org/wiki/Atlas_Copco</v>
    <v>Wikipedia</v>
  </rv>
  <rv s="1">
    <v>0</v>
    <v>56</v>
  </rv>
  <rv s="2">
    <v>Powered by Refinitiv</v>
    <v>6</v>
    <v>https://www.bing.com/th?id=AMMS_f691da07efc984db49409ee18e3268d9&amp;qlt=95</v>
    <v>57</v>
    <v>https://www.bing.com/images/search?form=xlimg&amp;q=atlas+copco</v>
    <v>Image of Atlas Copco AB</v>
    <v/>
  </rv>
  <rv s="0">
    <v>https://www.bing.com/financeapi/forcetrigger?t=amw6f2&amp;q=XSTO%3aATCO+B&amp;form=skydnc</v>
    <v>Learn more on Bing</v>
  </rv>
  <rv s="3">
    <v>en-US</v>
    <v>amw6f2</v>
    <v>268435456</v>
    <v>268435457</v>
    <v>1</v>
    <v>Powered by Refinitiv</v>
    <v>0</v>
    <v>Atlas Copco AB (XSTO:ATCO B)</v>
    <v>3</v>
    <v>4</v>
    <v>Finance</v>
    <v>5</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58</v>
    <v>Machinery, Equipment &amp; Components</v>
    <v>Stock</v>
    <v>44025.666666666664</v>
    <v>59</v>
    <v>358.5</v>
    <v>482393500000</v>
    <v>Atlas Copco AB</v>
    <v>Atlas Copco AB</v>
    <v>363.1</v>
    <v>8.3800000000000008</v>
    <v>359</v>
    <v>364.3</v>
    <v>364.3</v>
    <v>1229613000</v>
    <v>ATCO B</v>
    <v>Atlas Copco AB (XSTO:ATCO B)</v>
    <v>308133</v>
  </rv>
  <rv s="4">
    <v>60</v>
  </rv>
  <rv s="0">
    <v>https://www.bing.com/financeapi/forcetrigger?t=amwbpr&amp;q=XSTO%3aCAST&amp;form=skydnc</v>
    <v>Learn more on Bing</v>
  </rv>
  <rv s="6">
    <v>en-US</v>
    <v>amwbpr</v>
    <v>268435456</v>
    <v>268435457</v>
    <v>1</v>
    <v>Powered by Refinitiv</v>
    <v>9</v>
    <v>Castellum AB (XSTO:CAST)</v>
    <v>10</v>
    <v>11</v>
    <v>Finance</v>
    <v>5</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62</v>
    <v>175.4</v>
    <v>48138050000</v>
    <v>Castellum AB</v>
    <v>Castellum AB</v>
    <v>177.8</v>
    <v>10.050000000000001</v>
    <v>176.2</v>
    <v>176.85</v>
    <v>176.85</v>
    <v>273201200</v>
    <v>CAST</v>
    <v>Castellum AB (XSTO:CAST)</v>
    <v>441236</v>
  </rv>
  <rv s="4">
    <v>63</v>
  </rv>
  <rv s="0">
    <v>http://en.wikipedia.org/wiki/Axfood</v>
    <v>Wikipedia</v>
  </rv>
  <rv s="1">
    <v>0</v>
    <v>65</v>
  </rv>
  <rv s="2">
    <v>Powered by Refinitiv</v>
    <v>6</v>
    <v>https://www.bing.com/th?id=AMMS_0fc289fa19d264b8292a937ab061bb33&amp;qlt=95</v>
    <v>66</v>
    <v>https://www.bing.com/images/search?form=xlimg&amp;q=axfood</v>
    <v>Image of Axfood AB</v>
    <v/>
  </rv>
  <rv s="0">
    <v>https://www.bing.com/financeapi/forcetrigger?t=amw7bh&amp;q=XSTO%3aAXFO&amp;form=skydnc</v>
    <v>Learn more on Bing</v>
  </rv>
  <rv s="3">
    <v>en-US</v>
    <v>amw7bh</v>
    <v>268435456</v>
    <v>268435457</v>
    <v>1</v>
    <v>Powered by Refinitiv</v>
    <v>0</v>
    <v>Axfood AB (XSTO:AXFO)</v>
    <v>3</v>
    <v>4</v>
    <v>Finance</v>
    <v>5</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67</v>
    <v>Food &amp; Drug Retailing</v>
    <v>Stock</v>
    <v>44025.666666666664</v>
    <v>68</v>
    <v>199.5</v>
    <v>42351910000</v>
    <v>Axfood AB</v>
    <v>Axfood AB</v>
    <v>201.8</v>
    <v>24.85</v>
    <v>201.8</v>
    <v>201</v>
    <v>201</v>
    <v>209870700</v>
    <v>AXFO</v>
    <v>Axfood AB (XSTO:AXFO)</v>
    <v>329310</v>
  </rv>
  <rv s="4">
    <v>69</v>
  </rv>
  <rv s="0">
    <v>https://creativecommons.org/licenses/by-sa/4.0</v>
    <v>CC BY-SA 4.0</v>
  </rv>
  <rv s="0">
    <v>http://sv.wikipedia.org/wiki/Swedbank</v>
    <v>Wikipedia</v>
  </rv>
  <rv s="1">
    <v>71</v>
    <v>72</v>
  </rv>
  <rv s="2">
    <v>Powered by Refinitiv</v>
    <v>6</v>
    <v>https://www.bing.com/th?id=AMMS_813800af8ea77f18dfa72731ec0cc818&amp;qlt=95</v>
    <v>73</v>
    <v>https://www.bing.com/images/search?form=xlimg&amp;q=swedbank</v>
    <v>Image of Swedbank AB</v>
    <v/>
  </rv>
  <rv s="0">
    <v>https://www.bing.com/financeapi/forcetrigger?t=amxddm&amp;q=XSTO%3aSWED+A&amp;form=skydnc</v>
    <v>Learn more on Bing</v>
  </rv>
  <rv s="3">
    <v>en-US</v>
    <v>amxddm</v>
    <v>268435456</v>
    <v>268435457</v>
    <v>1</v>
    <v>Powered by Refinitiv</v>
    <v>0</v>
    <v>Swedbank AB (XSTO:SWED A)</v>
    <v>3</v>
    <v>4</v>
    <v>Finance</v>
    <v>5</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74</v>
    <v>Banking Services</v>
    <v>Stock</v>
    <v>44025.666666666664</v>
    <v>75</v>
    <v>133.72</v>
    <v>150986900000</v>
    <v>Swedbank AB</v>
    <v>Swedbank AB</v>
    <v>133.80000000000001</v>
    <v>11.71</v>
    <v>133.38</v>
    <v>136.84</v>
    <v>135.976</v>
    <v>1132006000</v>
    <v>SWED A</v>
    <v>Swedbank AB (XSTO:SWED A)</v>
    <v>4899127</v>
  </rv>
  <rv s="4">
    <v>76</v>
  </rv>
  <rv s="0">
    <v>http://sv.wikipedia.org/wiki/Astra_Zeneca</v>
    <v>Wikipedia</v>
  </rv>
  <rv s="1">
    <v>71</v>
    <v>78</v>
  </rv>
  <rv s="2">
    <v>Powered by Refinitiv</v>
    <v>6</v>
    <v>https://www.bing.com/th?id=AMMS_b2cce4675a6d7507fb76f31542e0dd93&amp;qlt=95</v>
    <v>79</v>
    <v>https://www.bing.com/images/search?form=xlimg&amp;q=astrazeneca</v>
    <v>Image of ASTRAZENECA PLC</v>
    <v/>
  </rv>
  <rv s="0">
    <v>https://www.bing.com/financeapi/forcetrigger?t=amw7mw&amp;q=XSTO%3aAZN&amp;form=skydnc</v>
    <v>Learn more on Bing</v>
  </rv>
  <rv s="12">
    <v>en-US</v>
    <v>amw7mw</v>
    <v>268435456</v>
    <v>268435457</v>
    <v>1</v>
    <v>Powered by Refinitiv</v>
    <v>24</v>
    <v>ASTRAZENECA PLC (XSTO:AZN)</v>
    <v>3</v>
    <v>25</v>
    <v>Finance</v>
    <v>5</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80</v>
    <v>Pharmaceuticals</v>
    <v>Stock</v>
    <v>44025.666666666664</v>
    <v>81</v>
    <v>984</v>
    <v>111466600000</v>
    <v>ASTRAZENECA PLC</v>
    <v>ASTRAZENECA PLC</v>
    <v>994</v>
    <v>87.4</v>
    <v>991.4</v>
    <v>994</v>
    <v>994</v>
    <v>1312271000</v>
    <v>AZN</v>
    <v>ASTRAZENECA PLC (XSTO:AZN)</v>
    <v>488224</v>
    <v>1992</v>
  </rv>
  <rv s="4">
    <v>82</v>
  </rv>
  <rv s="0">
    <v>https://www.bing.com/financeapi/forcetrigger?t=amwsp2&amp;q=XSTO%3aKLOV+B&amp;form=skydnc</v>
    <v>Learn more on Bing</v>
  </rv>
  <rv s="6">
    <v>en-US</v>
    <v>amwsp2</v>
    <v>268435456</v>
    <v>268435457</v>
    <v>1</v>
    <v>Powered by Refinitiv</v>
    <v>9</v>
    <v>Klovern AB (XSTO:KLOV B)</v>
    <v>10</v>
    <v>11</v>
    <v>Finance</v>
    <v>5</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84</v>
    <v>14.73</v>
    <v>18820830000</v>
    <v>Klovern AB</v>
    <v>Klovern AB</v>
    <v>14.91</v>
    <v>4.1100000000000003</v>
    <v>14.81</v>
    <v>14.76</v>
    <v>14.76</v>
    <v>932438000</v>
    <v>KLOV B</v>
    <v>Klovern AB (XSTO:KLOV B)</v>
    <v>1466445</v>
  </rv>
  <rv s="4">
    <v>85</v>
  </rv>
</rvData>
</file>

<file path=xl/richData/rdrichvaluestructure.xml><?xml version="1.0" encoding="utf-8"?>
<rvStructures xmlns="http://schemas.microsoft.com/office/spreadsheetml/2017/richdata" count="13">
  <s t="_hyperlink">
    <k n="Address" t="s"/>
    <k n="Text" t="s"/>
  </s>
  <s t="_sourceattribution">
    <k n="License" t="r"/>
    <k n="Source" t="r"/>
  </s>
  <s t="_imageurl">
    <k n="%ProviderInfo" t="s"/>
    <k n="_Flags"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6">
    <spb s="0">
      <v>0</v>
    </spb>
    <spb s="1">
      <v>0</v>
      <v>0</v>
    </spb>
    <spb s="2">
      <v>0</v>
      <v>0</v>
      <v>0</v>
    </spb>
    <spb s="3">
      <v>1</v>
      <v>2</v>
      <v>2</v>
      <v>2</v>
    </spb>
    <spb s="4">
      <v>1</v>
      <v>2</v>
      <v>2</v>
      <v>1</v>
      <v>3</v>
      <v>1</v>
      <v>4</v>
      <v>1</v>
      <v>1</v>
      <v>5</v>
      <v>5</v>
      <v>6</v>
      <v>7</v>
      <v>1</v>
      <v>1</v>
      <v>1</v>
      <v>8</v>
      <v>9</v>
      <v>10</v>
      <v>10</v>
      <v>5</v>
      <v>1</v>
      <v>1</v>
      <v>6</v>
    </spb>
    <spb s="5">
      <v>at close</v>
      <v>from previous close</v>
      <v>from previous close</v>
      <v>Source: Nasdaq Nordic</v>
      <v>GMT</v>
      <v>Delayed 15 minutes</v>
      <v>from close</v>
      <v>from close</v>
    </spb>
    <spb s="6">
      <v>2</v>
    </spb>
    <spb s="0">
      <v>1</v>
    </spb>
    <spb s="7">
      <v>1</v>
      <v>2</v>
      <v>2</v>
      <v>1</v>
      <v>3</v>
      <v>1</v>
      <v>4</v>
      <v>1</v>
      <v>1</v>
      <v>5</v>
      <v>5</v>
      <v>6</v>
      <v>7</v>
      <v>1</v>
      <v>8</v>
      <v>9</v>
      <v>10</v>
      <v>10</v>
      <v>5</v>
      <v>1</v>
      <v>1</v>
      <v>6</v>
    </spb>
    <spb s="0">
      <v>2</v>
    </spb>
    <spb s="8">
      <v>2</v>
      <v>2</v>
      <v>2</v>
    </spb>
    <spb s="9">
      <v>1</v>
      <v>2</v>
      <v>2</v>
      <v>1</v>
      <v>3</v>
      <v>1</v>
      <v>1</v>
      <v>1</v>
      <v>5</v>
      <v>5</v>
      <v>6</v>
      <v>7</v>
      <v>1</v>
      <v>1</v>
      <v>1</v>
      <v>8</v>
      <v>9</v>
      <v>10</v>
      <v>10</v>
      <v>5</v>
      <v>1</v>
      <v>1</v>
      <v>6</v>
    </spb>
    <spb s="0">
      <v>3</v>
    </spb>
    <spb s="10">
      <v>1</v>
      <v>1</v>
      <v>3</v>
      <v>1</v>
      <v>1</v>
      <v>1</v>
      <v>5</v>
      <v>6</v>
      <v>7</v>
      <v>1</v>
      <v>1</v>
      <v>1</v>
      <v>8</v>
      <v>9</v>
      <v>10</v>
      <v>10</v>
      <v>5</v>
      <v>1</v>
    </spb>
    <spb s="11">
      <v>at close</v>
      <v>from previous close</v>
      <v>from previous close</v>
      <v>Source: Nasdaq Nordic</v>
      <v>GMT</v>
      <v>Delayed 15 minutes</v>
    </spb>
    <spb s="0">
      <v>4</v>
    </spb>
    <spb s="12">
      <v>11</v>
      <v>2</v>
      <v>2</v>
      <v>11</v>
      <v>3</v>
      <v>11</v>
      <v>11</v>
      <v>11</v>
      <v>5</v>
      <v>5</v>
      <v>6</v>
      <v>12</v>
      <v>11</v>
      <v>11</v>
      <v>11</v>
      <v>5</v>
      <v>8</v>
      <v>9</v>
      <v>10</v>
      <v>13</v>
      <v>10</v>
      <v>5</v>
    </spb>
    <spb s="13">
      <v>Real-Time Nasdaq Last Sale</v>
      <v>from previous close</v>
      <v>from previous close</v>
      <v>Source: Nasdaq Last Sale</v>
      <v>GMT</v>
    </spb>
    <spb s="0">
      <v>5</v>
    </spb>
    <spb s="14">
      <v>11</v>
      <v>2</v>
      <v>2</v>
      <v>11</v>
      <v>3</v>
      <v>11</v>
      <v>4</v>
      <v>11</v>
      <v>11</v>
      <v>5</v>
      <v>5</v>
      <v>6</v>
      <v>12</v>
      <v>11</v>
      <v>11</v>
      <v>11</v>
      <v>5</v>
      <v>8</v>
      <v>9</v>
      <v>10</v>
      <v>13</v>
      <v>10</v>
      <v>5</v>
    </spb>
    <spb s="0">
      <v>6</v>
    </spb>
    <spb s="15">
      <v>1</v>
      <v>2</v>
      <v>2</v>
      <v>1</v>
      <v>3</v>
      <v>1</v>
      <v>1</v>
      <v>1</v>
      <v>5</v>
      <v>5</v>
      <v>6</v>
      <v>12</v>
      <v>1</v>
      <v>1</v>
      <v>1</v>
      <v>8</v>
      <v>9</v>
      <v>10</v>
      <v>13</v>
      <v>10</v>
      <v>5</v>
      <v>1</v>
      <v>1</v>
      <v>6</v>
    </spb>
    <spb s="0">
      <v>7</v>
    </spb>
    <spb s="16">
      <v>1</v>
      <v>2</v>
      <v>1</v>
      <v>3</v>
      <v>1</v>
      <v>1</v>
      <v>1</v>
      <v>5</v>
      <v>5</v>
      <v>6</v>
      <v>14</v>
      <v>1</v>
      <v>8</v>
      <v>9</v>
      <v>10</v>
      <v>10</v>
      <v>5</v>
      <v>1</v>
      <v>1</v>
      <v>6</v>
    </spb>
    <spb s="0">
      <v>8</v>
    </spb>
    <spb s="17">
      <v>1</v>
      <v>2</v>
      <v>2</v>
      <v>1</v>
      <v>3</v>
      <v>1</v>
      <v>4</v>
      <v>1</v>
      <v>1</v>
      <v>5</v>
      <v>5</v>
      <v>6</v>
      <v>12</v>
      <v>1</v>
      <v>1</v>
      <v>1</v>
      <v>8</v>
      <v>9</v>
      <v>10</v>
      <v>13</v>
      <v>10</v>
      <v>5</v>
      <v>1</v>
      <v>1</v>
      <v>6</v>
    </spb>
  </spbData>
</supportingPropertyBags>
</file>

<file path=xl/richData/rdsupportingpropertybagstructure.xml><?xml version="1.0" encoding="utf-8"?>
<spbStructures xmlns="http://schemas.microsoft.com/office/spreadsheetml/2017/richdata2" count="18">
  <s>
    <k n="^Order" t="spba"/>
  </s>
  <s>
    <k n="ShowInDotNotation" t="b"/>
    <k n="ShowInAutoComplete" t="b"/>
  </s>
  <s>
    <k n="ShowInCardView" t="b"/>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oviderInfo" t="spb"/>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68" formatCode="_-* #,##0.00\ [$kr-41D]_-;\-* #,##0.00\ [$kr-41D]_-;_-* &quot;-&quot;??\ [$kr-41D]_-;_-@_-"/>
    </x:dxf>
    <x:dxf>
      <x:numFmt numFmtId="4" formatCode="#,##0.00"/>
    </x:dxf>
    <x:dxf>
      <x:numFmt numFmtId="3" formatCode="#,##0"/>
    </x:dxf>
    <x:dxf>
      <x:numFmt numFmtId="14" formatCode="0.00%"/>
    </x:dxf>
    <x:dxf>
      <x:numFmt numFmtId="167" formatCode="_-* #,##0\ [$kr-41D]_-;\-* #,##0\ [$kr-41D]_-;_-* &quot;-&quot;\ [$kr-41D]_-;_-@_-"/>
    </x:dxf>
    <x:dxf>
      <x:numFmt numFmtId="27" formatCode="yyyy/mm/dd\ hh:mm"/>
    </x:dxf>
    <x:dxf>
      <x:numFmt numFmtId="2" formatCode="0.00"/>
    </x:dxf>
    <x:dxf>
      <x:numFmt numFmtId="166" formatCode="_([$$-409]* #,##0.00_);_([$$-409]* \(#,##0.00\);_([$$-409]* &quot;-&quot;??_);_(@_)"/>
    </x:dxf>
    <x:dxf>
      <x:numFmt numFmtId="165" formatCode="_([$$-409]* #,##0_);_([$$-409]* \(#,##0\);_([$$-409]* &quot;-&quot;_);_(@_)"/>
    </x:dxf>
    <x:dxf>
      <x:numFmt numFmtId="1" formatCode="0"/>
    </x:dxf>
    <x:dxf>
      <x:numFmt numFmtId="164" formatCode="_([$€-2]\ * #,##0_);_([$€-2]\ * \(#,##0\);_([$€-2]\ * &quot;-&quot;_);_(@_)"/>
    </x:dxf>
  </dxfs>
  <richProperties>
    <rPr n="IsTitleField" t="b"/>
    <rPr n="IsHeroField" t="b"/>
    <rPr n="ShouldShowInCell" t="b"/>
  </richProperties>
  <richStyles>
    <rSty dxfid="0"/>
    <rSty dxfid="1"/>
    <rSty>
      <rpv i="0">1</rpv>
    </rSty>
    <rSty>
      <rpv i="1">1</rpv>
    </rSty>
    <rSty dxfid="2"/>
    <rSty dxfid="3"/>
    <rSty dxfid="4"/>
    <rSty>
      <rpv i="2">1</rpv>
    </rSty>
    <rSty dxfid="5"/>
    <rSty dxfid="6"/>
    <rSty dxfid="7"/>
    <rSty dxfid="8"/>
    <rSty dxfid="9"/>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9" headerRowBorderDxfId="18" tableBorderDxfId="17" totalsRowBorderDxfId="16" headerRowCellStyle="Neutral" dataCellStyle="60 % - Dekorfärg3">
  <autoFilter ref="A1:P20" xr:uid="{1F38F5D2-2C32-4A11-8AF6-D2E7C4910877}"/>
  <tableColumns count="16">
    <tableColumn id="1" xr3:uid="{E53D5D7B-8DFB-4A62-9DCA-8BE3FEB62C87}" name="Aktie" dataDxfId="15" dataCellStyle="60 % - Dekorfärg3"/>
    <tableColumn id="2" xr3:uid="{A22BE2EF-1741-4E06-BCF3-EBA5D040D863}" name="Jan" dataDxfId="14" dataCellStyle="60 % - Dekorfärg3"/>
    <tableColumn id="3" xr3:uid="{18F1A727-B9BE-4F75-B1DB-A86B2C1602BD}" name="Feb" dataDxfId="13" dataCellStyle="60 % - Dekorfärg3"/>
    <tableColumn id="4" xr3:uid="{7CC337E9-212C-420D-9C9D-ADD4A6EE0B6C}" name="Mar" dataDxfId="12" dataCellStyle="60 % - Dekorfärg3"/>
    <tableColumn id="5" xr3:uid="{3A2E4CEF-B47C-4F65-AB8A-B8ADB59CD6D4}" name="Apr" dataDxfId="11" dataCellStyle="60 % - Dekorfärg3"/>
    <tableColumn id="6" xr3:uid="{3C8C0771-AB4C-4863-88AB-D5BCD111D43F}" name="Maj" dataDxfId="10" dataCellStyle="60 % - Dekorfärg3"/>
    <tableColumn id="7" xr3:uid="{B4A752CA-AC94-4EB1-B1C2-D2201CBA1156}" name="Jun" dataDxfId="9" dataCellStyle="60 % - Dekorfärg3"/>
    <tableColumn id="8" xr3:uid="{4156C19C-76B0-4CC0-BEE5-5BDAE9CA304E}" name="Jul" dataDxfId="8" dataCellStyle="60 % - Dekorfärg3"/>
    <tableColumn id="9" xr3:uid="{2BC9BFE9-ADCD-4764-AE73-49DFC68A4F50}" name="Aug" dataDxfId="7" dataCellStyle="60 % - Dekorfärg3"/>
    <tableColumn id="10" xr3:uid="{9A82D59B-1D3D-4FDB-BD42-6B5E3D0C8670}" name="Sep" dataDxfId="6" dataCellStyle="60 % - Dekorfärg3"/>
    <tableColumn id="11" xr3:uid="{F99E8469-6C8F-4008-88F5-90F3BAFE4A9A}" name="Okt" dataDxfId="5" dataCellStyle="60 % - Dekorfärg3"/>
    <tableColumn id="12" xr3:uid="{2D1B510E-B930-49C7-A17B-AC77E583B94C}" name="Nov" dataDxfId="4" dataCellStyle="60 % - Dekorfärg3"/>
    <tableColumn id="13" xr3:uid="{E2FC9966-6BB4-4C2E-9F6D-5468F82235B8}" name="Dec" dataDxfId="3" dataCellStyle="60 % - Dekorfärg3"/>
    <tableColumn id="14" xr3:uid="{FBE26C0C-B078-43DB-AD0D-A1D76A235F88}" name="antal aktier" dataDxfId="2" dataCellStyle="60 % - Dekorfärg3"/>
    <tableColumn id="15" xr3:uid="{06B609A0-F474-4515-8398-27D18F39C034}" name="Total utdelning" dataDxfId="1"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1"/>
  <dimension ref="A1:P21"/>
  <sheetViews>
    <sheetView zoomScaleNormal="100" workbookViewId="0">
      <selection activeCell="N2" sqref="N2"/>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16" ht="26.25" x14ac:dyDescent="0.4">
      <c r="A1" s="7" t="s">
        <v>14</v>
      </c>
      <c r="B1" s="8" t="s">
        <v>1</v>
      </c>
      <c r="C1" s="8" t="s">
        <v>0</v>
      </c>
      <c r="D1" s="8" t="s">
        <v>2</v>
      </c>
      <c r="E1" s="8" t="s">
        <v>3</v>
      </c>
      <c r="F1" s="8" t="s">
        <v>4</v>
      </c>
      <c r="G1" s="8" t="s">
        <v>5</v>
      </c>
      <c r="H1" s="8" t="s">
        <v>6</v>
      </c>
      <c r="I1" s="8" t="s">
        <v>7</v>
      </c>
      <c r="J1" s="8" t="s">
        <v>8</v>
      </c>
      <c r="K1" s="8" t="s">
        <v>9</v>
      </c>
      <c r="L1" s="8" t="s">
        <v>10</v>
      </c>
      <c r="M1" s="8" t="s">
        <v>11</v>
      </c>
      <c r="N1" s="8" t="s">
        <v>12</v>
      </c>
      <c r="O1" s="8" t="s">
        <v>13</v>
      </c>
      <c r="P1" s="8" t="s">
        <v>16</v>
      </c>
    </row>
    <row r="2" spans="1:16" x14ac:dyDescent="0.25">
      <c r="A2" s="5" t="e" vm="1">
        <v>#VALUE!</v>
      </c>
      <c r="B2" s="2"/>
      <c r="C2" s="2"/>
      <c r="D2" s="2"/>
      <c r="E2" s="2">
        <v>0.75</v>
      </c>
      <c r="F2" s="2"/>
      <c r="G2" s="2"/>
      <c r="H2" s="2"/>
      <c r="I2" s="2"/>
      <c r="J2" s="2"/>
      <c r="K2" s="2">
        <v>0.75</v>
      </c>
      <c r="L2" s="2"/>
      <c r="M2" s="2"/>
      <c r="N2" s="2">
        <v>1</v>
      </c>
      <c r="O2" s="2">
        <f t="shared" ref="O2:O9" si="0">SUM(B2:M2)*N2</f>
        <v>1.5</v>
      </c>
      <c r="P2" s="14" cm="1">
        <f t="array" ref="P2">_FV(Tabell1[[#This Row],[Aktie]],"Previous close",TRUE)</f>
        <v>86.46</v>
      </c>
    </row>
    <row r="3" spans="1:16" x14ac:dyDescent="0.25">
      <c r="A3" s="6" t="e" vm="2">
        <v>#VALUE!</v>
      </c>
      <c r="B3" s="1"/>
      <c r="C3" s="1"/>
      <c r="D3" s="1"/>
      <c r="E3" s="1"/>
      <c r="F3" s="1">
        <v>4.8499999999999996</v>
      </c>
      <c r="G3" s="1"/>
      <c r="H3" s="1"/>
      <c r="I3" s="1"/>
      <c r="J3" s="1"/>
      <c r="K3" s="1"/>
      <c r="L3" s="1">
        <v>4.8499999999999996</v>
      </c>
      <c r="M3" s="1"/>
      <c r="N3" s="1">
        <v>1</v>
      </c>
      <c r="O3" s="1">
        <f t="shared" si="0"/>
        <v>9.6999999999999993</v>
      </c>
      <c r="P3" s="14" cm="1">
        <f t="array" ref="P3">_FV(Tabell1[[#This Row],[Aktie]],"Previous close",TRUE)</f>
        <v>137.65</v>
      </c>
    </row>
    <row r="4" spans="1:16" x14ac:dyDescent="0.25">
      <c r="A4" s="5" t="e" vm="3">
        <v>#VALUE!</v>
      </c>
      <c r="B4" s="2"/>
      <c r="C4" s="2"/>
      <c r="D4" s="2"/>
      <c r="E4" s="2"/>
      <c r="F4" s="2">
        <v>8</v>
      </c>
      <c r="G4" s="2"/>
      <c r="H4" s="2"/>
      <c r="I4" s="2"/>
      <c r="J4" s="2"/>
      <c r="K4" s="2"/>
      <c r="L4" s="2">
        <v>4</v>
      </c>
      <c r="M4" s="2"/>
      <c r="N4" s="2">
        <v>1</v>
      </c>
      <c r="O4" s="2">
        <f t="shared" si="0"/>
        <v>12</v>
      </c>
      <c r="P4" s="14" cm="1">
        <f t="array" ref="P4">_FV(Tabell1[[#This Row],[Aktie]],"Previous close",TRUE)</f>
        <v>506.2</v>
      </c>
    </row>
    <row r="5" spans="1:16" x14ac:dyDescent="0.25">
      <c r="A5" s="6" t="e" vm="4">
        <v>#VALUE!</v>
      </c>
      <c r="B5" s="1"/>
      <c r="C5" s="1"/>
      <c r="D5" s="1"/>
      <c r="E5" s="1"/>
      <c r="F5" s="1">
        <v>2</v>
      </c>
      <c r="G5" s="1"/>
      <c r="H5" s="1"/>
      <c r="I5" s="1"/>
      <c r="J5" s="1"/>
      <c r="K5" s="1"/>
      <c r="L5" s="1"/>
      <c r="M5" s="1"/>
      <c r="N5" s="1">
        <v>1</v>
      </c>
      <c r="O5" s="1">
        <f t="shared" si="0"/>
        <v>2</v>
      </c>
      <c r="P5" s="14" cm="1">
        <f t="array" ref="P5">_FV(Tabell1[[#This Row],[Aktie]],"Previous close",TRUE)</f>
        <v>26.46</v>
      </c>
    </row>
    <row r="6" spans="1:16" x14ac:dyDescent="0.25">
      <c r="A6" s="5" t="e" vm="5">
        <v>#VALUE!</v>
      </c>
      <c r="B6" s="2"/>
      <c r="C6" s="2"/>
      <c r="D6" s="2"/>
      <c r="E6" s="2"/>
      <c r="F6" s="2">
        <v>4</v>
      </c>
      <c r="G6" s="2"/>
      <c r="H6" s="2"/>
      <c r="I6" s="2"/>
      <c r="J6" s="2"/>
      <c r="K6" s="2"/>
      <c r="L6" s="2">
        <v>4</v>
      </c>
      <c r="M6" s="2"/>
      <c r="N6" s="2">
        <v>1</v>
      </c>
      <c r="O6" s="2">
        <f t="shared" si="0"/>
        <v>8</v>
      </c>
      <c r="P6" s="14" cm="1">
        <f t="array" ref="P6">_FV(Tabell1[[#This Row],[Aktie]],"Previous close",TRUE)</f>
        <v>263.3</v>
      </c>
    </row>
    <row r="7" spans="1:16" x14ac:dyDescent="0.25">
      <c r="A7" s="6" t="e" vm="6">
        <v>#VALUE!</v>
      </c>
      <c r="B7" s="1"/>
      <c r="C7" s="1">
        <v>1.75</v>
      </c>
      <c r="D7" s="1"/>
      <c r="E7" s="1"/>
      <c r="F7" s="1">
        <v>1.75</v>
      </c>
      <c r="G7" s="1"/>
      <c r="H7" s="1"/>
      <c r="I7" s="1">
        <v>1.75</v>
      </c>
      <c r="J7" s="1"/>
      <c r="K7" s="1"/>
      <c r="L7" s="1">
        <v>1.75</v>
      </c>
      <c r="M7" s="1"/>
      <c r="N7" s="1">
        <v>1</v>
      </c>
      <c r="O7" s="1">
        <f t="shared" si="0"/>
        <v>7</v>
      </c>
      <c r="P7" s="14" cm="1">
        <f t="array" ref="P7">_FV(Tabell1[[#This Row],[Aktie]],"Previous close",TRUE)</f>
        <v>80</v>
      </c>
    </row>
    <row r="8" spans="1:16" x14ac:dyDescent="0.25">
      <c r="A8" s="5" t="e" vm="7">
        <v>#VALUE!</v>
      </c>
      <c r="B8" s="2"/>
      <c r="C8" s="2">
        <v>6</v>
      </c>
      <c r="D8" s="2"/>
      <c r="E8" s="2"/>
      <c r="F8" s="2">
        <v>6</v>
      </c>
      <c r="G8" s="2"/>
      <c r="H8" s="2"/>
      <c r="I8" s="2">
        <v>6</v>
      </c>
      <c r="J8" s="2"/>
      <c r="K8" s="2"/>
      <c r="L8" s="2">
        <v>6</v>
      </c>
      <c r="M8" s="2"/>
      <c r="N8" s="2">
        <v>1</v>
      </c>
      <c r="O8" s="2">
        <f t="shared" si="0"/>
        <v>24</v>
      </c>
      <c r="P8" s="13" cm="1">
        <f t="array" ref="P8">_FV(Tabell1[[#This Row],[Aktie]],"Previous close",TRUE)*10</f>
        <v>305.7</v>
      </c>
    </row>
    <row r="9" spans="1:16" x14ac:dyDescent="0.25">
      <c r="A9" s="6" t="e" vm="8">
        <v>#VALUE!</v>
      </c>
      <c r="B9" s="1">
        <v>5</v>
      </c>
      <c r="C9" s="1"/>
      <c r="D9" s="1"/>
      <c r="E9" s="1">
        <v>5</v>
      </c>
      <c r="F9" s="1"/>
      <c r="G9" s="1"/>
      <c r="H9" s="1">
        <v>5</v>
      </c>
      <c r="I9" s="1"/>
      <c r="J9" s="1"/>
      <c r="K9" s="1">
        <v>5</v>
      </c>
      <c r="L9" s="1"/>
      <c r="M9" s="1"/>
      <c r="N9" s="1">
        <v>1</v>
      </c>
      <c r="O9" s="1">
        <f t="shared" si="0"/>
        <v>20</v>
      </c>
      <c r="P9" s="13" cm="1">
        <f t="array" ref="P9">_FV(Tabell1[[#This Row],[Aktie]],"Previous close",TRUE)*10</f>
        <v>301.3</v>
      </c>
    </row>
    <row r="10" spans="1:16" x14ac:dyDescent="0.25">
      <c r="A10" s="5" t="e" vm="9">
        <v>#VALUE!</v>
      </c>
      <c r="B10" s="2"/>
      <c r="C10" s="2"/>
      <c r="D10" s="2"/>
      <c r="E10" s="2"/>
      <c r="F10" s="2">
        <v>2.25</v>
      </c>
      <c r="G10" s="2"/>
      <c r="H10" s="2"/>
      <c r="I10" s="2"/>
      <c r="J10" s="2"/>
      <c r="K10" s="2"/>
      <c r="L10" s="2"/>
      <c r="M10" s="2"/>
      <c r="N10" s="2">
        <v>1</v>
      </c>
      <c r="O10" s="2">
        <f t="shared" ref="O10:O18" si="1">SUM(B10:M10)*N10</f>
        <v>2.25</v>
      </c>
      <c r="P10" s="14" cm="1">
        <f t="array" ref="P10">_FV(Tabell1[[#This Row],[Aktie]],"Previous close",TRUE)</f>
        <v>172.3</v>
      </c>
    </row>
    <row r="11" spans="1:16" x14ac:dyDescent="0.25">
      <c r="A11" s="6" t="e" vm="10">
        <v>#VALUE!</v>
      </c>
      <c r="B11" s="1"/>
      <c r="C11" s="1">
        <v>5.5</v>
      </c>
      <c r="D11" s="1"/>
      <c r="E11" s="1"/>
      <c r="F11" s="1">
        <v>5.5</v>
      </c>
      <c r="G11" s="1"/>
      <c r="H11" s="1"/>
      <c r="I11" s="1">
        <v>5.5</v>
      </c>
      <c r="J11" s="1"/>
      <c r="K11" s="1"/>
      <c r="L11" s="1">
        <v>5.5</v>
      </c>
      <c r="M11" s="1"/>
      <c r="N11" s="1">
        <v>1</v>
      </c>
      <c r="O11" s="1">
        <f t="shared" si="1"/>
        <v>22</v>
      </c>
      <c r="P11" s="14" cm="1">
        <f t="array" ref="P11">_FV(Tabell1[[#This Row],[Aktie]],"Previous close",TRUE)</f>
        <v>595</v>
      </c>
    </row>
    <row r="12" spans="1:16" x14ac:dyDescent="0.25">
      <c r="A12" s="5" t="e" vm="11">
        <v>#VALUE!</v>
      </c>
      <c r="B12" s="2"/>
      <c r="C12" s="2"/>
      <c r="D12" s="2"/>
      <c r="E12" s="2">
        <v>4</v>
      </c>
      <c r="F12" s="2"/>
      <c r="G12" s="2"/>
      <c r="H12" s="2"/>
      <c r="I12" s="2"/>
      <c r="J12" s="2"/>
      <c r="K12" s="2"/>
      <c r="L12" s="2">
        <v>4</v>
      </c>
      <c r="M12" s="2"/>
      <c r="N12" s="2">
        <v>1</v>
      </c>
      <c r="O12" s="2">
        <f t="shared" si="1"/>
        <v>8</v>
      </c>
      <c r="P12" s="14" cm="1">
        <f t="array" ref="P12">_FV(Tabell1[[#This Row],[Aktie]],"Previous close",TRUE)</f>
        <v>161</v>
      </c>
    </row>
    <row r="13" spans="1:16" x14ac:dyDescent="0.25">
      <c r="A13" s="6" t="e" vm="12">
        <v>#VALUE!</v>
      </c>
      <c r="B13" s="1"/>
      <c r="C13" s="1"/>
      <c r="D13" s="1"/>
      <c r="E13" s="1"/>
      <c r="F13" s="1"/>
      <c r="G13" s="1">
        <v>1.1000000000000001</v>
      </c>
      <c r="H13" s="1"/>
      <c r="I13" s="1"/>
      <c r="J13" s="1"/>
      <c r="K13" s="1"/>
      <c r="L13" s="1"/>
      <c r="M13" s="1">
        <v>1.1000000000000001</v>
      </c>
      <c r="N13" s="1">
        <v>1</v>
      </c>
      <c r="O13" s="1">
        <f t="shared" si="1"/>
        <v>2.2000000000000002</v>
      </c>
      <c r="P13" s="14" cm="1">
        <f t="array" ref="P13">_FV(Tabell1[[#This Row],[Aktie]],"Previous close",TRUE)</f>
        <v>184.4</v>
      </c>
    </row>
    <row r="14" spans="1:16" x14ac:dyDescent="0.25">
      <c r="A14" s="5" t="e" vm="13">
        <v>#VALUE!</v>
      </c>
      <c r="B14" s="2"/>
      <c r="C14" s="2"/>
      <c r="D14" s="2"/>
      <c r="E14" s="2">
        <v>3.15</v>
      </c>
      <c r="F14" s="2"/>
      <c r="G14" s="2"/>
      <c r="H14" s="2"/>
      <c r="I14" s="2"/>
      <c r="J14" s="2"/>
      <c r="K14" s="2">
        <v>3.15</v>
      </c>
      <c r="L14" s="2"/>
      <c r="M14" s="2"/>
      <c r="N14" s="2">
        <v>0</v>
      </c>
      <c r="O14" s="2">
        <f t="shared" si="1"/>
        <v>0</v>
      </c>
      <c r="P14" s="14" cm="1">
        <f t="array" ref="P14">_FV(Tabell1[[#This Row],[Aktie]],"Previous close",TRUE)</f>
        <v>359</v>
      </c>
    </row>
    <row r="15" spans="1:16" x14ac:dyDescent="0.25">
      <c r="A15" s="6" t="e" vm="14">
        <v>#VALUE!</v>
      </c>
      <c r="B15" s="1"/>
      <c r="C15" s="1"/>
      <c r="D15" s="1">
        <v>3.25</v>
      </c>
      <c r="E15" s="1"/>
      <c r="F15" s="1"/>
      <c r="G15" s="1"/>
      <c r="H15" s="1"/>
      <c r="I15" s="1"/>
      <c r="J15" s="1">
        <v>3.25</v>
      </c>
      <c r="K15" s="1"/>
      <c r="L15" s="1"/>
      <c r="M15" s="1"/>
      <c r="N15" s="1">
        <v>0</v>
      </c>
      <c r="O15" s="1">
        <f t="shared" si="1"/>
        <v>0</v>
      </c>
      <c r="P15" s="14" cm="1">
        <f t="array" ref="P15">_FV(Tabell1[[#This Row],[Aktie]],"Previous close",TRUE)</f>
        <v>176.2</v>
      </c>
    </row>
    <row r="16" spans="1:16" x14ac:dyDescent="0.25">
      <c r="A16" s="5" t="e" vm="15">
        <v>#VALUE!</v>
      </c>
      <c r="B16" s="2"/>
      <c r="C16" s="2"/>
      <c r="D16" s="2">
        <v>3.5</v>
      </c>
      <c r="E16" s="2"/>
      <c r="F16" s="2"/>
      <c r="G16" s="2"/>
      <c r="H16" s="2"/>
      <c r="I16" s="2"/>
      <c r="J16" s="2">
        <v>3.5</v>
      </c>
      <c r="K16" s="2"/>
      <c r="L16" s="2"/>
      <c r="M16" s="2"/>
      <c r="N16" s="2">
        <v>0</v>
      </c>
      <c r="O16" s="2">
        <f t="shared" si="1"/>
        <v>0</v>
      </c>
      <c r="P16" s="14" cm="1">
        <f t="array" ref="P16">_FV(Tabell1[[#This Row],[Aktie]],"Previous close",TRUE)</f>
        <v>201.8</v>
      </c>
    </row>
    <row r="17" spans="1:16" x14ac:dyDescent="0.25">
      <c r="A17" s="6" t="e" vm="16">
        <v>#VALUE!</v>
      </c>
      <c r="B17" s="1"/>
      <c r="C17" s="1"/>
      <c r="D17" s="1"/>
      <c r="E17" s="1">
        <v>14</v>
      </c>
      <c r="F17" s="1"/>
      <c r="G17" s="1"/>
      <c r="H17" s="1"/>
      <c r="I17" s="1"/>
      <c r="J17" s="1"/>
      <c r="K17" s="1"/>
      <c r="L17" s="1"/>
      <c r="M17" s="1"/>
      <c r="N17" s="1">
        <v>1</v>
      </c>
      <c r="O17" s="1">
        <f t="shared" si="1"/>
        <v>14</v>
      </c>
      <c r="P17" s="14" cm="1">
        <f t="array" ref="P17">_FV(Tabell1[[#This Row],[Aktie]],"Previous close",TRUE)</f>
        <v>133.38</v>
      </c>
    </row>
    <row r="18" spans="1:16" x14ac:dyDescent="0.25">
      <c r="A18" s="5" t="e" vm="17">
        <v>#VALUE!</v>
      </c>
      <c r="B18" s="2"/>
      <c r="C18" s="2"/>
      <c r="D18" s="2">
        <v>18</v>
      </c>
      <c r="E18" s="2"/>
      <c r="F18" s="2"/>
      <c r="G18" s="2"/>
      <c r="H18" s="2"/>
      <c r="I18" s="2"/>
      <c r="J18" s="2">
        <v>8.5</v>
      </c>
      <c r="K18" s="2"/>
      <c r="L18" s="2"/>
      <c r="M18" s="2"/>
      <c r="N18" s="2">
        <v>1</v>
      </c>
      <c r="O18" s="2">
        <f t="shared" si="1"/>
        <v>26.5</v>
      </c>
      <c r="P18" s="14" cm="1">
        <f t="array" ref="P18">_FV(Tabell1[[#This Row],[Aktie]],"Previous close",TRUE)</f>
        <v>991.4</v>
      </c>
    </row>
    <row r="19" spans="1:16" x14ac:dyDescent="0.25">
      <c r="A19" s="4" t="e" vm="18">
        <v>#VALUE!</v>
      </c>
      <c r="B19" s="1"/>
      <c r="C19" s="1"/>
      <c r="D19" s="1">
        <v>0.46</v>
      </c>
      <c r="E19" s="1"/>
      <c r="F19" s="1"/>
      <c r="G19" s="1">
        <v>0.46</v>
      </c>
      <c r="H19" s="1"/>
      <c r="I19" s="1"/>
      <c r="J19" s="1">
        <v>0.46</v>
      </c>
      <c r="K19" s="1"/>
      <c r="L19" s="1"/>
      <c r="M19" s="1">
        <v>0.46</v>
      </c>
      <c r="N19" s="1">
        <v>1</v>
      </c>
      <c r="O19" s="1">
        <f>SUM(B19:M19)*N19</f>
        <v>1.84</v>
      </c>
      <c r="P19" s="12" cm="1">
        <f t="array" ref="P19">_FV(Tabell1[[#This Row],[Aktie]],"Previous close",TRUE)</f>
        <v>14.81</v>
      </c>
    </row>
    <row r="20" spans="1:16" x14ac:dyDescent="0.25">
      <c r="A20" s="9"/>
      <c r="B20" s="10"/>
      <c r="C20" s="10"/>
      <c r="D20" s="10"/>
      <c r="E20" s="10"/>
      <c r="F20" s="10"/>
      <c r="G20" s="10"/>
      <c r="H20" s="10"/>
      <c r="I20" s="10"/>
      <c r="J20" s="10"/>
      <c r="K20" s="10"/>
      <c r="L20" s="10"/>
      <c r="M20" s="10"/>
      <c r="N20" s="10"/>
      <c r="O20" s="10"/>
      <c r="P20" s="11"/>
    </row>
    <row r="21" spans="1:16" x14ac:dyDescent="0.25">
      <c r="A21" s="3" t="s">
        <v>15</v>
      </c>
      <c r="B21" s="20">
        <f>B2*N2+B3*N3+B4*N4+B5*N5+B6*N6+B7*N7+B8*N8+B9*N9+B10*N10+B11*N11+B12*N12+B13*N13+B14*N14+B15*N15+B16*N16+B17*N17+B18*N18+B19*N19</f>
        <v>5</v>
      </c>
      <c r="C21" s="3">
        <f>C2*N2+C3*N3+C4*N4+C5*N5+C6*N6+C7*N7+C8*N8+C9*N9+C10*N10+C11*N11+C12*N12+C13*N13+C14*N14+C15*N15+C16*N16+C17*N17+C18*N18+C19*N19</f>
        <v>13.25</v>
      </c>
      <c r="D21" s="3">
        <f>D2*N2+D3*N3+D4*N4+D5*N5+D6*N6+D7*N7+D8*N8+D9*N9+D10*N10+D11*N11+D12*N12+D13*N13+D14*N14+D15*N15+D16*N16+D17*N17+D18*N18+D19*N19</f>
        <v>18.46</v>
      </c>
      <c r="E21" s="3">
        <f>E2*N2+E3*N3+E4*N4+E5*N5+E6*N6+E7*N7+E8*N8+E9*N9+E10*N10+E11*N11+E12*N12+E13*N13+E14*N14+E15*N15+E16*N16+E17*N17+E18*N18+E19*N19</f>
        <v>23.75</v>
      </c>
      <c r="F21" s="3">
        <f>F2*N2+F3*N3+F4*N4+F5*N5+F6*N6+F7*N7+F8*N8+F9*N9+F10*N10+F11*N11+F12*N12+F13*N13+F14*N14+F15*N15+F16*N16+F17*N17+F18*N18+F19*N19</f>
        <v>34.35</v>
      </c>
      <c r="G21" s="3">
        <f>G2*N2+G3*N3+G4*N4+G5*N5+G6*N6+G7*N7+G8*N8+G9*N9+G10*N10+G11*N11+G12*N12+G13*N13+G14*N14+G15*N15+G16*N16+G17*N17+G18*N18+G19*N19</f>
        <v>1.56</v>
      </c>
      <c r="H21" s="3">
        <f>H2*N2+H3*N3+H4*N4+H5*N5+H6*N6+H7*N7+H8*N8+H9*N9+H10*N10+H11*N11+H12*N12+H13*N13+H14*N14+H15*N15+H16*N16+H17*N17+H18*N18+H19*N19</f>
        <v>5</v>
      </c>
      <c r="I21" s="3">
        <f>I2*N2+I3*N3+I4*N4+I5*N5+I6*N6+I7*N7+I8*N8+I9*N9+I10*N10+I11*N11+I12*N12+I13*N13+I14*N14+I15*N15+I16*N16+I17*N17+I18*N18+I19*N19</f>
        <v>13.25</v>
      </c>
      <c r="J21" s="3">
        <f>J2*N2+J3*N3+J4*N4+J5*N5+J6*N6+J7*N7+J8*N8+J9*N9+J10*N10+J11*N11+J12*N12+J13*N13+J14*N14+J15*N15+J16*N16+J17*N17+J18*N18+J19*N19</f>
        <v>8.9600000000000009</v>
      </c>
      <c r="K21" s="3">
        <f>K2*N2+K3*N3+K4*N4+K5*N5+K6*N6+K7*N7+K8*N8+K9*N9+K10*N10+K11*N11+K12*N12+K13*N13+K14*N14+K15*N15+K16*N16+K17*N17+K18*N18+K19*N19</f>
        <v>5.75</v>
      </c>
      <c r="L21" s="3">
        <f>L2*N2+L3*N3+L4*N4+L5*N5+L6*N6+L7*N7+L8*N8+L9*N9+L10*N10+L11*N11+L12*N12+L13*N13+L14*N14+L15*N15+L16*N16+L17*N17+L18*N18+L19*N19</f>
        <v>30.1</v>
      </c>
      <c r="M21" s="3">
        <f>M2*N2+M3*N3+M4*N4+M5*N5+M6*N6+M7*N7+M8*N8+M9*N9+M10*N10+M11*N11+M12*N12+M13*N13+M14*N14+M15*N15+M16*N16+M17*N17+M18*N18+M19*N19</f>
        <v>1.56</v>
      </c>
      <c r="N21" s="3">
        <f>SUM(N2:N20)</f>
        <v>15</v>
      </c>
      <c r="O21" s="3">
        <f>SUM(O2:O19)</f>
        <v>160.99</v>
      </c>
    </row>
  </sheetData>
  <phoneticPr fontId="3" type="noConversion"/>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sheetPr codeName="Blad2"/>
  <dimension ref="A1:P18"/>
  <sheetViews>
    <sheetView workbookViewId="0">
      <selection activeCell="A2" sqref="A2:XFD11"/>
    </sheetView>
  </sheetViews>
  <sheetFormatPr defaultRowHeight="15" x14ac:dyDescent="0.25"/>
  <cols>
    <col min="16" max="16" width="25.140625" bestFit="1" customWidth="1"/>
  </cols>
  <sheetData>
    <row r="1" spans="1:16"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row>
    <row r="2" spans="1:16" x14ac:dyDescent="0.25">
      <c r="A2" s="19" t="s">
        <v>20</v>
      </c>
      <c r="B2" s="16">
        <f>Overview!B5</f>
        <v>0</v>
      </c>
      <c r="C2" s="16">
        <f>Overview!C5</f>
        <v>0</v>
      </c>
      <c r="D2" s="16">
        <f>Overview!D5</f>
        <v>0</v>
      </c>
      <c r="E2" s="16">
        <f>Overview!E5</f>
        <v>0</v>
      </c>
      <c r="F2" s="16">
        <f>Overview!F5</f>
        <v>2</v>
      </c>
      <c r="G2" s="16">
        <f>Overview!G5</f>
        <v>0</v>
      </c>
      <c r="H2" s="16">
        <f>Overview!H5</f>
        <v>0</v>
      </c>
      <c r="I2" s="16">
        <f>Overview!I5</f>
        <v>0</v>
      </c>
      <c r="J2" s="16">
        <f>Overview!J5</f>
        <v>0</v>
      </c>
      <c r="K2" s="16">
        <f>Overview!K5</f>
        <v>0</v>
      </c>
      <c r="L2" s="16">
        <f>Overview!L5</f>
        <v>0</v>
      </c>
      <c r="M2" s="16">
        <f>Overview!M5</f>
        <v>0</v>
      </c>
      <c r="N2" s="16">
        <f>Overview!N5</f>
        <v>1</v>
      </c>
      <c r="O2" s="16">
        <f>Overview!O5</f>
        <v>2</v>
      </c>
      <c r="P2" s="14">
        <f>Overview!P5</f>
        <v>26.46</v>
      </c>
    </row>
    <row r="3" spans="1:16" x14ac:dyDescent="0.25">
      <c r="A3" s="17" t="s">
        <v>21</v>
      </c>
      <c r="B3" s="18">
        <f>Overview!B10</f>
        <v>0</v>
      </c>
      <c r="C3" s="18">
        <f>Overview!C10</f>
        <v>0</v>
      </c>
      <c r="D3" s="18">
        <f>Overview!D10</f>
        <v>0</v>
      </c>
      <c r="E3" s="18">
        <f>Overview!E10</f>
        <v>0</v>
      </c>
      <c r="F3" s="18">
        <f>Overview!F10</f>
        <v>2.25</v>
      </c>
      <c r="G3" s="18">
        <f>Overview!G10</f>
        <v>0</v>
      </c>
      <c r="H3" s="18">
        <f>Overview!H10</f>
        <v>0</v>
      </c>
      <c r="I3" s="18">
        <f>Overview!I10</f>
        <v>0</v>
      </c>
      <c r="J3" s="18">
        <f>Overview!J10</f>
        <v>0</v>
      </c>
      <c r="K3" s="18">
        <f>Overview!K10</f>
        <v>0</v>
      </c>
      <c r="L3" s="18">
        <f>Overview!L10</f>
        <v>0</v>
      </c>
      <c r="M3" s="18">
        <f>Overview!M10</f>
        <v>0</v>
      </c>
      <c r="N3" s="18">
        <f>Overview!N10</f>
        <v>1</v>
      </c>
      <c r="O3" s="18">
        <f>Overview!O10</f>
        <v>2.25</v>
      </c>
      <c r="P3" s="14">
        <f>Overview!P10</f>
        <v>172.3</v>
      </c>
    </row>
    <row r="4" spans="1:16" x14ac:dyDescent="0.25">
      <c r="A4" s="19" t="s">
        <v>22</v>
      </c>
      <c r="B4" s="16">
        <f>Overview!B9</f>
        <v>5</v>
      </c>
      <c r="C4" s="16">
        <f>Overview!C9</f>
        <v>0</v>
      </c>
      <c r="D4" s="16">
        <f>Overview!D9</f>
        <v>0</v>
      </c>
      <c r="E4" s="16">
        <f>Overview!E9</f>
        <v>5</v>
      </c>
      <c r="F4" s="16">
        <f>Overview!F9</f>
        <v>0</v>
      </c>
      <c r="G4" s="16">
        <f>Overview!G9</f>
        <v>0</v>
      </c>
      <c r="H4" s="16">
        <f>Overview!H9</f>
        <v>5</v>
      </c>
      <c r="I4" s="16">
        <f>Overview!I9</f>
        <v>0</v>
      </c>
      <c r="J4" s="16">
        <f>Overview!J9</f>
        <v>0</v>
      </c>
      <c r="K4" s="16">
        <f>Overview!K9</f>
        <v>5</v>
      </c>
      <c r="L4" s="16">
        <f>Overview!L9</f>
        <v>0</v>
      </c>
      <c r="M4" s="16">
        <f>Overview!M9</f>
        <v>0</v>
      </c>
      <c r="N4" s="16">
        <f>Overview!N9</f>
        <v>1</v>
      </c>
      <c r="O4" s="16">
        <f>Overview!O9</f>
        <v>20</v>
      </c>
      <c r="P4" s="13">
        <f>Overview!P9</f>
        <v>301.3</v>
      </c>
    </row>
    <row r="5" spans="1:16" x14ac:dyDescent="0.25">
      <c r="A5" s="17" t="s">
        <v>23</v>
      </c>
      <c r="B5" s="18">
        <f>Overview!B4</f>
        <v>0</v>
      </c>
      <c r="C5" s="18">
        <f>Overview!C4</f>
        <v>0</v>
      </c>
      <c r="D5" s="18">
        <f>Overview!D4</f>
        <v>0</v>
      </c>
      <c r="E5" s="18">
        <f>Overview!E4</f>
        <v>0</v>
      </c>
      <c r="F5" s="18">
        <f>Overview!F4</f>
        <v>8</v>
      </c>
      <c r="G5" s="18">
        <f>Overview!G4</f>
        <v>0</v>
      </c>
      <c r="H5" s="18">
        <f>Overview!H4</f>
        <v>0</v>
      </c>
      <c r="I5" s="18">
        <f>Overview!I4</f>
        <v>0</v>
      </c>
      <c r="J5" s="18">
        <f>Overview!J4</f>
        <v>0</v>
      </c>
      <c r="K5" s="18">
        <f>Overview!K4</f>
        <v>0</v>
      </c>
      <c r="L5" s="18">
        <f>Overview!L4</f>
        <v>4</v>
      </c>
      <c r="M5" s="18">
        <f>Overview!M4</f>
        <v>0</v>
      </c>
      <c r="N5" s="18">
        <f>Overview!N4</f>
        <v>1</v>
      </c>
      <c r="O5" s="18">
        <f>Overview!O4</f>
        <v>12</v>
      </c>
      <c r="P5" s="14">
        <f>Overview!P4</f>
        <v>506.2</v>
      </c>
    </row>
    <row r="6" spans="1:16" x14ac:dyDescent="0.25">
      <c r="A6" s="19" t="s">
        <v>28</v>
      </c>
      <c r="B6" s="16">
        <f>Overview!B13</f>
        <v>0</v>
      </c>
      <c r="C6" s="16">
        <f>Overview!C13</f>
        <v>0</v>
      </c>
      <c r="D6" s="16">
        <f>Overview!D13</f>
        <v>0</v>
      </c>
      <c r="E6" s="16">
        <f>Overview!E13</f>
        <v>0</v>
      </c>
      <c r="F6" s="16">
        <f>Overview!F13</f>
        <v>0</v>
      </c>
      <c r="G6" s="16">
        <f>Overview!G13</f>
        <v>1.1000000000000001</v>
      </c>
      <c r="H6" s="16">
        <f>Overview!H13</f>
        <v>0</v>
      </c>
      <c r="I6" s="16">
        <f>Overview!I13</f>
        <v>0</v>
      </c>
      <c r="J6" s="16">
        <f>Overview!J13</f>
        <v>0</v>
      </c>
      <c r="K6" s="16">
        <f>Overview!K13</f>
        <v>0</v>
      </c>
      <c r="L6" s="16">
        <f>Overview!L13</f>
        <v>0</v>
      </c>
      <c r="M6" s="16">
        <f>Overview!M13</f>
        <v>1.1000000000000001</v>
      </c>
      <c r="N6" s="16">
        <f>Overview!N13</f>
        <v>1</v>
      </c>
      <c r="O6" s="16">
        <f>Overview!O13</f>
        <v>2.2000000000000002</v>
      </c>
      <c r="P6" s="14">
        <f>Overview!P13</f>
        <v>184.4</v>
      </c>
    </row>
    <row r="7" spans="1:16" x14ac:dyDescent="0.25">
      <c r="A7" s="19" t="s">
        <v>30</v>
      </c>
      <c r="B7" s="16">
        <f>Overview!B15</f>
        <v>0</v>
      </c>
      <c r="C7" s="16">
        <f>Overview!C15</f>
        <v>0</v>
      </c>
      <c r="D7" s="16">
        <f>Overview!D15</f>
        <v>3.25</v>
      </c>
      <c r="E7" s="16">
        <f>Overview!E15</f>
        <v>0</v>
      </c>
      <c r="F7" s="16">
        <f>Overview!F15</f>
        <v>0</v>
      </c>
      <c r="G7" s="16">
        <f>Overview!G15</f>
        <v>0</v>
      </c>
      <c r="H7" s="16">
        <f>Overview!H15</f>
        <v>0</v>
      </c>
      <c r="I7" s="16">
        <f>Overview!I15</f>
        <v>0</v>
      </c>
      <c r="J7" s="16">
        <f>Overview!J15</f>
        <v>3.25</v>
      </c>
      <c r="K7" s="16">
        <f>Overview!K15</f>
        <v>0</v>
      </c>
      <c r="L7" s="16">
        <f>Overview!L15</f>
        <v>0</v>
      </c>
      <c r="M7" s="16">
        <f>Overview!M15</f>
        <v>0</v>
      </c>
      <c r="N7" s="16">
        <f>Overview!N15</f>
        <v>0</v>
      </c>
      <c r="O7" s="16">
        <f>Overview!O15</f>
        <v>0</v>
      </c>
      <c r="P7" s="14">
        <f>Overview!P15</f>
        <v>176.2</v>
      </c>
    </row>
    <row r="8" spans="1:16" x14ac:dyDescent="0.25">
      <c r="A8" s="17" t="s">
        <v>31</v>
      </c>
      <c r="B8" s="18">
        <f>Overview!B16</f>
        <v>0</v>
      </c>
      <c r="C8" s="18">
        <f>Overview!C16</f>
        <v>0</v>
      </c>
      <c r="D8" s="18">
        <f>Overview!D16</f>
        <v>3.5</v>
      </c>
      <c r="E8" s="18">
        <f>Overview!E16</f>
        <v>0</v>
      </c>
      <c r="F8" s="18">
        <f>Overview!F16</f>
        <v>0</v>
      </c>
      <c r="G8" s="18">
        <f>Overview!G16</f>
        <v>0</v>
      </c>
      <c r="H8" s="18">
        <f>Overview!H16</f>
        <v>0</v>
      </c>
      <c r="I8" s="18">
        <f>Overview!I16</f>
        <v>0</v>
      </c>
      <c r="J8" s="18">
        <f>Overview!J16</f>
        <v>3.5</v>
      </c>
      <c r="K8" s="18">
        <f>Overview!K16</f>
        <v>0</v>
      </c>
      <c r="L8" s="18">
        <f>Overview!L16</f>
        <v>0</v>
      </c>
      <c r="M8" s="18">
        <f>Overview!M16</f>
        <v>0</v>
      </c>
      <c r="N8" s="18">
        <f>Overview!N16</f>
        <v>0</v>
      </c>
      <c r="O8" s="18">
        <f>Overview!O16</f>
        <v>0</v>
      </c>
      <c r="P8" s="14">
        <f>Overview!P16</f>
        <v>201.8</v>
      </c>
    </row>
    <row r="9" spans="1:16" x14ac:dyDescent="0.25">
      <c r="A9" s="17" t="s">
        <v>25</v>
      </c>
      <c r="B9" s="18">
        <f>Overview!B6</f>
        <v>0</v>
      </c>
      <c r="C9" s="18">
        <f>Overview!C6</f>
        <v>0</v>
      </c>
      <c r="D9" s="18">
        <f>Overview!D6</f>
        <v>0</v>
      </c>
      <c r="E9" s="18">
        <f>Overview!E6</f>
        <v>0</v>
      </c>
      <c r="F9" s="18">
        <f>Overview!F6</f>
        <v>4</v>
      </c>
      <c r="G9" s="18">
        <f>Overview!G6</f>
        <v>0</v>
      </c>
      <c r="H9" s="18">
        <f>Overview!H6</f>
        <v>0</v>
      </c>
      <c r="I9" s="18">
        <f>Overview!I6</f>
        <v>0</v>
      </c>
      <c r="J9" s="18">
        <f>Overview!J6</f>
        <v>0</v>
      </c>
      <c r="K9" s="18">
        <f>Overview!K6</f>
        <v>0</v>
      </c>
      <c r="L9" s="18">
        <f>Overview!L6</f>
        <v>4</v>
      </c>
      <c r="M9" s="18">
        <f>Overview!M6</f>
        <v>0</v>
      </c>
      <c r="N9" s="18">
        <f>Overview!N6</f>
        <v>1</v>
      </c>
      <c r="O9" s="18">
        <f>Overview!O6</f>
        <v>8</v>
      </c>
      <c r="P9" s="14">
        <f>Overview!P6</f>
        <v>263.3</v>
      </c>
    </row>
    <row r="10" spans="1:16" x14ac:dyDescent="0.25">
      <c r="A10" s="17" t="s">
        <v>29</v>
      </c>
      <c r="B10" s="18">
        <f>Overview!B14</f>
        <v>0</v>
      </c>
      <c r="C10" s="18">
        <f>Overview!C14</f>
        <v>0</v>
      </c>
      <c r="D10" s="18">
        <f>Overview!D14</f>
        <v>0</v>
      </c>
      <c r="E10" s="18">
        <f>Overview!E14</f>
        <v>3.15</v>
      </c>
      <c r="F10" s="18">
        <f>Overview!F14</f>
        <v>0</v>
      </c>
      <c r="G10" s="18">
        <f>Overview!G14</f>
        <v>0</v>
      </c>
      <c r="H10" s="18">
        <f>Overview!H14</f>
        <v>0</v>
      </c>
      <c r="I10" s="18">
        <f>Overview!I14</f>
        <v>0</v>
      </c>
      <c r="J10" s="18">
        <f>Overview!J14</f>
        <v>0</v>
      </c>
      <c r="K10" s="18">
        <f>Overview!K14</f>
        <v>3.15</v>
      </c>
      <c r="L10" s="18">
        <f>Overview!L14</f>
        <v>0</v>
      </c>
      <c r="M10" s="18">
        <f>Overview!M14</f>
        <v>0</v>
      </c>
      <c r="N10" s="18">
        <f>Overview!N14</f>
        <v>0</v>
      </c>
      <c r="O10" s="18">
        <f>Overview!O14</f>
        <v>0</v>
      </c>
      <c r="P10" s="14">
        <f>Overview!P14</f>
        <v>359</v>
      </c>
    </row>
    <row r="11" spans="1:16" x14ac:dyDescent="0.25">
      <c r="A11" s="19" t="s">
        <v>24</v>
      </c>
      <c r="B11" s="16">
        <f>Overview!B11</f>
        <v>0</v>
      </c>
      <c r="C11" s="16">
        <f>Overview!C11</f>
        <v>5.5</v>
      </c>
      <c r="D11" s="16">
        <f>Overview!D11</f>
        <v>0</v>
      </c>
      <c r="E11" s="16">
        <f>Overview!E11</f>
        <v>0</v>
      </c>
      <c r="F11" s="16">
        <f>Overview!F11</f>
        <v>5.5</v>
      </c>
      <c r="G11" s="16">
        <f>Overview!G11</f>
        <v>0</v>
      </c>
      <c r="H11" s="16">
        <f>Overview!H11</f>
        <v>0</v>
      </c>
      <c r="I11" s="16">
        <f>Overview!I11</f>
        <v>5.5</v>
      </c>
      <c r="J11" s="16">
        <f>Overview!J11</f>
        <v>0</v>
      </c>
      <c r="K11" s="16">
        <f>Overview!K11</f>
        <v>0</v>
      </c>
      <c r="L11" s="16">
        <f>Overview!L11</f>
        <v>5.5</v>
      </c>
      <c r="M11" s="16">
        <f>Overview!M11</f>
        <v>0</v>
      </c>
      <c r="N11" s="16">
        <f>Overview!N11</f>
        <v>1</v>
      </c>
      <c r="O11" s="16">
        <f>Overview!O11</f>
        <v>22</v>
      </c>
      <c r="P11" s="14">
        <f>Overview!P11</f>
        <v>595</v>
      </c>
    </row>
    <row r="12" spans="1:16" x14ac:dyDescent="0.25">
      <c r="A12" s="19" t="s">
        <v>32</v>
      </c>
      <c r="B12" s="16">
        <f>Overview!B17</f>
        <v>0</v>
      </c>
      <c r="C12" s="16">
        <f>Overview!C17</f>
        <v>0</v>
      </c>
      <c r="D12" s="16">
        <f>Overview!D17</f>
        <v>0</v>
      </c>
      <c r="E12" s="16">
        <f>Overview!E17</f>
        <v>14</v>
      </c>
      <c r="F12" s="16">
        <f>Overview!F17</f>
        <v>0</v>
      </c>
      <c r="G12" s="16">
        <f>Overview!G17</f>
        <v>0</v>
      </c>
      <c r="H12" s="16">
        <f>Overview!H17</f>
        <v>0</v>
      </c>
      <c r="I12" s="16">
        <f>Overview!I17</f>
        <v>0</v>
      </c>
      <c r="J12" s="16">
        <f>Overview!J17</f>
        <v>0</v>
      </c>
      <c r="K12" s="16">
        <f>Overview!K17</f>
        <v>0</v>
      </c>
      <c r="L12" s="16">
        <f>Overview!L17</f>
        <v>0</v>
      </c>
      <c r="M12" s="16">
        <f>Overview!M17</f>
        <v>0</v>
      </c>
      <c r="N12" s="16">
        <f>Overview!N17</f>
        <v>1</v>
      </c>
      <c r="O12" s="16">
        <f>Overview!O17</f>
        <v>14</v>
      </c>
      <c r="P12" s="14">
        <f>Overview!P17</f>
        <v>133.38</v>
      </c>
    </row>
    <row r="13" spans="1:16" x14ac:dyDescent="0.25">
      <c r="A13" s="19" t="s">
        <v>18</v>
      </c>
      <c r="B13" s="16">
        <f>Overview!B3</f>
        <v>0</v>
      </c>
      <c r="C13" s="16">
        <f>Overview!C3</f>
        <v>0</v>
      </c>
      <c r="D13" s="16">
        <f>Overview!D3</f>
        <v>0</v>
      </c>
      <c r="E13" s="16">
        <f>Overview!E3</f>
        <v>0</v>
      </c>
      <c r="F13" s="16">
        <f>Overview!F3</f>
        <v>4.8499999999999996</v>
      </c>
      <c r="G13" s="16">
        <f>Overview!G3</f>
        <v>0</v>
      </c>
      <c r="H13" s="16">
        <f>Overview!H3</f>
        <v>0</v>
      </c>
      <c r="I13" s="16">
        <f>Overview!I3</f>
        <v>0</v>
      </c>
      <c r="J13" s="16">
        <f>Overview!J3</f>
        <v>0</v>
      </c>
      <c r="K13" s="16">
        <f>Overview!K3</f>
        <v>0</v>
      </c>
      <c r="L13" s="16">
        <f>Overview!L3</f>
        <v>4.8499999999999996</v>
      </c>
      <c r="M13" s="16">
        <f>Overview!M3</f>
        <v>0</v>
      </c>
      <c r="N13" s="16">
        <f>Overview!N3</f>
        <v>1</v>
      </c>
      <c r="O13" s="16">
        <f>Overview!O3</f>
        <v>9.6999999999999993</v>
      </c>
      <c r="P13" s="14">
        <f>Overview!P3</f>
        <v>137.65</v>
      </c>
    </row>
    <row r="14" spans="1:16" x14ac:dyDescent="0.25">
      <c r="A14" s="17" t="s">
        <v>33</v>
      </c>
      <c r="B14" s="18">
        <f>Overview!B18</f>
        <v>0</v>
      </c>
      <c r="C14" s="18">
        <f>Overview!C18</f>
        <v>0</v>
      </c>
      <c r="D14" s="18">
        <f>Overview!D18</f>
        <v>18</v>
      </c>
      <c r="E14" s="18">
        <f>Overview!E18</f>
        <v>0</v>
      </c>
      <c r="F14" s="18">
        <f>Overview!F18</f>
        <v>0</v>
      </c>
      <c r="G14" s="18">
        <f>Overview!G18</f>
        <v>0</v>
      </c>
      <c r="H14" s="18">
        <f>Overview!H18</f>
        <v>0</v>
      </c>
      <c r="I14" s="18">
        <f>Overview!I18</f>
        <v>0</v>
      </c>
      <c r="J14" s="18">
        <f>Overview!J18</f>
        <v>8.5</v>
      </c>
      <c r="K14" s="18">
        <f>Overview!K18</f>
        <v>0</v>
      </c>
      <c r="L14" s="18">
        <f>Overview!L18</f>
        <v>0</v>
      </c>
      <c r="M14" s="18">
        <f>Overview!M18</f>
        <v>0</v>
      </c>
      <c r="N14" s="18">
        <f>Overview!N18</f>
        <v>1</v>
      </c>
      <c r="O14" s="18">
        <f>Overview!O18</f>
        <v>26.5</v>
      </c>
      <c r="P14" s="14">
        <f>Overview!P18</f>
        <v>991.4</v>
      </c>
    </row>
    <row r="15" spans="1:16" x14ac:dyDescent="0.25">
      <c r="A15" s="17" t="s">
        <v>17</v>
      </c>
      <c r="B15" s="18">
        <f>Overview!B8</f>
        <v>0</v>
      </c>
      <c r="C15" s="18">
        <f>Overview!C8</f>
        <v>6</v>
      </c>
      <c r="D15" s="18">
        <f>Overview!D8</f>
        <v>0</v>
      </c>
      <c r="E15" s="18">
        <f>Overview!E8</f>
        <v>0</v>
      </c>
      <c r="F15" s="18">
        <f>Overview!F8</f>
        <v>6</v>
      </c>
      <c r="G15" s="18">
        <f>Overview!G8</f>
        <v>0</v>
      </c>
      <c r="H15" s="18">
        <f>Overview!H8</f>
        <v>0</v>
      </c>
      <c r="I15" s="18">
        <f>Overview!I8</f>
        <v>6</v>
      </c>
      <c r="J15" s="18">
        <f>Overview!J8</f>
        <v>0</v>
      </c>
      <c r="K15" s="18">
        <f>Overview!K8</f>
        <v>0</v>
      </c>
      <c r="L15" s="18">
        <f>Overview!L8</f>
        <v>6</v>
      </c>
      <c r="M15" s="18">
        <f>Overview!M8</f>
        <v>0</v>
      </c>
      <c r="N15" s="18">
        <f>Overview!N8</f>
        <v>1</v>
      </c>
      <c r="O15" s="18">
        <f>Overview!O8</f>
        <v>24</v>
      </c>
      <c r="P15" s="13">
        <f>Overview!P8</f>
        <v>305.7</v>
      </c>
    </row>
    <row r="16" spans="1:16" x14ac:dyDescent="0.25">
      <c r="A16" s="17" t="s">
        <v>27</v>
      </c>
      <c r="B16" s="18">
        <f>Overview!B12</f>
        <v>0</v>
      </c>
      <c r="C16" s="18">
        <f>Overview!C12</f>
        <v>0</v>
      </c>
      <c r="D16" s="18">
        <f>Overview!D12</f>
        <v>0</v>
      </c>
      <c r="E16" s="18">
        <f>Overview!E12</f>
        <v>4</v>
      </c>
      <c r="F16" s="18">
        <f>Overview!F12</f>
        <v>0</v>
      </c>
      <c r="G16" s="18">
        <f>Overview!G12</f>
        <v>0</v>
      </c>
      <c r="H16" s="18">
        <f>Overview!H12</f>
        <v>0</v>
      </c>
      <c r="I16" s="18">
        <f>Overview!I12</f>
        <v>0</v>
      </c>
      <c r="J16" s="18">
        <f>Overview!J12</f>
        <v>0</v>
      </c>
      <c r="K16" s="18">
        <f>Overview!K12</f>
        <v>0</v>
      </c>
      <c r="L16" s="18">
        <f>Overview!L12</f>
        <v>4</v>
      </c>
      <c r="M16" s="18">
        <f>Overview!M12</f>
        <v>0</v>
      </c>
      <c r="N16" s="18">
        <f>Overview!N12</f>
        <v>1</v>
      </c>
      <c r="O16" s="18">
        <f>Overview!O12</f>
        <v>8</v>
      </c>
      <c r="P16" s="14">
        <f>Overview!P12</f>
        <v>161</v>
      </c>
    </row>
    <row r="17" spans="1:16" x14ac:dyDescent="0.25">
      <c r="A17" s="17" t="s">
        <v>19</v>
      </c>
      <c r="B17" s="18">
        <f>Overview!B2</f>
        <v>0</v>
      </c>
      <c r="C17" s="18">
        <f>Overview!C2</f>
        <v>0</v>
      </c>
      <c r="D17" s="18">
        <f>Overview!D2</f>
        <v>0</v>
      </c>
      <c r="E17" s="18">
        <f>Overview!E2</f>
        <v>0.75</v>
      </c>
      <c r="F17" s="18">
        <f>Overview!F2</f>
        <v>0</v>
      </c>
      <c r="G17" s="18">
        <f>Overview!G2</f>
        <v>0</v>
      </c>
      <c r="H17" s="18">
        <f>Overview!H2</f>
        <v>0</v>
      </c>
      <c r="I17" s="18">
        <f>Overview!I2</f>
        <v>0</v>
      </c>
      <c r="J17" s="18">
        <f>Overview!J2</f>
        <v>0</v>
      </c>
      <c r="K17" s="18">
        <f>Overview!K2</f>
        <v>0.75</v>
      </c>
      <c r="L17" s="18">
        <f>Overview!L2</f>
        <v>0</v>
      </c>
      <c r="M17" s="18">
        <f>Overview!M2</f>
        <v>0</v>
      </c>
      <c r="N17" s="18">
        <f>Overview!N2</f>
        <v>1</v>
      </c>
      <c r="O17" s="18">
        <f>Overview!O2</f>
        <v>1.5</v>
      </c>
      <c r="P17" s="14">
        <f>Overview!P2</f>
        <v>86.46</v>
      </c>
    </row>
    <row r="18" spans="1:16" x14ac:dyDescent="0.25">
      <c r="A18" s="19" t="s">
        <v>26</v>
      </c>
      <c r="B18" s="16">
        <f>Overview!B7</f>
        <v>0</v>
      </c>
      <c r="C18" s="16">
        <f>Overview!C7</f>
        <v>1.75</v>
      </c>
      <c r="D18" s="16">
        <f>Overview!D7</f>
        <v>0</v>
      </c>
      <c r="E18" s="16">
        <f>Overview!E7</f>
        <v>0</v>
      </c>
      <c r="F18" s="16">
        <f>Overview!F7</f>
        <v>1.75</v>
      </c>
      <c r="G18" s="16">
        <f>Overview!G7</f>
        <v>0</v>
      </c>
      <c r="H18" s="16">
        <f>Overview!H7</f>
        <v>0</v>
      </c>
      <c r="I18" s="16">
        <f>Overview!I7</f>
        <v>1.75</v>
      </c>
      <c r="J18" s="16">
        <f>Overview!J7</f>
        <v>0</v>
      </c>
      <c r="K18" s="16">
        <f>Overview!K7</f>
        <v>0</v>
      </c>
      <c r="L18" s="16">
        <f>Overview!L7</f>
        <v>1.75</v>
      </c>
      <c r="M18" s="16">
        <f>Overview!M7</f>
        <v>0</v>
      </c>
      <c r="N18" s="16">
        <f>Overview!N7</f>
        <v>1</v>
      </c>
      <c r="O18" s="16">
        <f>Overview!O7</f>
        <v>7</v>
      </c>
      <c r="P18" s="14">
        <f>Overview!P7</f>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85E3A-19D0-47B9-867F-49E3EDE141F8}">
  <dimension ref="A1:U18"/>
  <sheetViews>
    <sheetView tabSelected="1" workbookViewId="0">
      <selection activeCell="G29" sqref="G29"/>
    </sheetView>
  </sheetViews>
  <sheetFormatPr defaultRowHeight="15" x14ac:dyDescent="0.25"/>
  <cols>
    <col min="1" max="1" width="48.28515625" bestFit="1" customWidth="1"/>
    <col min="16" max="16" width="25.140625" bestFit="1" customWidth="1"/>
  </cols>
  <sheetData>
    <row r="1" spans="1:21"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c r="U1" t="s">
        <v>34</v>
      </c>
    </row>
    <row r="2" spans="1:21" x14ac:dyDescent="0.25">
      <c r="A2" s="19" t="s">
        <v>32</v>
      </c>
      <c r="B2" s="16">
        <f>Overview!B17</f>
        <v>0</v>
      </c>
      <c r="C2" s="16">
        <f>Overview!C17</f>
        <v>0</v>
      </c>
      <c r="D2" s="16">
        <f>Overview!D17</f>
        <v>0</v>
      </c>
      <c r="E2" s="16">
        <f>Overview!E17</f>
        <v>14</v>
      </c>
      <c r="F2" s="16">
        <f>Overview!F17</f>
        <v>0</v>
      </c>
      <c r="G2" s="16">
        <f>Overview!G17</f>
        <v>0</v>
      </c>
      <c r="H2" s="16">
        <f>Overview!H17</f>
        <v>0</v>
      </c>
      <c r="I2" s="16">
        <f>Overview!I17</f>
        <v>0</v>
      </c>
      <c r="J2" s="16">
        <f>Overview!J17</f>
        <v>0</v>
      </c>
      <c r="K2" s="16">
        <f>Overview!K17</f>
        <v>0</v>
      </c>
      <c r="L2" s="16">
        <f>Overview!L17</f>
        <v>0</v>
      </c>
      <c r="M2" s="16">
        <f>Overview!M17</f>
        <v>0</v>
      </c>
      <c r="N2" s="16">
        <f>Overview!N17</f>
        <v>1</v>
      </c>
      <c r="O2" s="16">
        <f>Overview!O17</f>
        <v>14</v>
      </c>
      <c r="P2" s="14">
        <f>Overview!P17</f>
        <v>133.38</v>
      </c>
      <c r="U2">
        <f>SUM(O2:O18)</f>
        <v>159.15</v>
      </c>
    </row>
    <row r="3" spans="1:21" x14ac:dyDescent="0.25">
      <c r="A3" s="19" t="s">
        <v>18</v>
      </c>
      <c r="B3" s="16">
        <f>Overview!B3</f>
        <v>0</v>
      </c>
      <c r="C3" s="16">
        <f>Overview!C3</f>
        <v>0</v>
      </c>
      <c r="D3" s="16">
        <f>Overview!D3</f>
        <v>0</v>
      </c>
      <c r="E3" s="16">
        <f>Overview!E3</f>
        <v>0</v>
      </c>
      <c r="F3" s="16">
        <f>Overview!F3</f>
        <v>4.8499999999999996</v>
      </c>
      <c r="G3" s="16">
        <f>Overview!G3</f>
        <v>0</v>
      </c>
      <c r="H3" s="16">
        <f>Overview!H3</f>
        <v>0</v>
      </c>
      <c r="I3" s="16">
        <f>Overview!I3</f>
        <v>0</v>
      </c>
      <c r="J3" s="16">
        <f>Overview!J3</f>
        <v>0</v>
      </c>
      <c r="K3" s="16">
        <f>Overview!K3</f>
        <v>0</v>
      </c>
      <c r="L3" s="16">
        <f>Overview!L3</f>
        <v>4.8499999999999996</v>
      </c>
      <c r="M3" s="16">
        <f>Overview!M3</f>
        <v>0</v>
      </c>
      <c r="N3" s="16">
        <f>Overview!N3</f>
        <v>1</v>
      </c>
      <c r="O3" s="16">
        <f>Overview!O3</f>
        <v>9.6999999999999993</v>
      </c>
      <c r="P3" s="14">
        <f>Overview!P3</f>
        <v>137.65</v>
      </c>
    </row>
    <row r="4" spans="1:21" x14ac:dyDescent="0.25">
      <c r="A4" s="17" t="s">
        <v>33</v>
      </c>
      <c r="B4" s="18">
        <f>Overview!B18</f>
        <v>0</v>
      </c>
      <c r="C4" s="18">
        <f>Overview!C18</f>
        <v>0</v>
      </c>
      <c r="D4" s="18">
        <f>Overview!D18</f>
        <v>18</v>
      </c>
      <c r="E4" s="18">
        <f>Overview!E18</f>
        <v>0</v>
      </c>
      <c r="F4" s="18">
        <f>Overview!F18</f>
        <v>0</v>
      </c>
      <c r="G4" s="18">
        <f>Overview!G18</f>
        <v>0</v>
      </c>
      <c r="H4" s="18">
        <f>Overview!H18</f>
        <v>0</v>
      </c>
      <c r="I4" s="18">
        <f>Overview!I18</f>
        <v>0</v>
      </c>
      <c r="J4" s="18">
        <f>Overview!J18</f>
        <v>8.5</v>
      </c>
      <c r="K4" s="18">
        <f>Overview!K18</f>
        <v>0</v>
      </c>
      <c r="L4" s="18">
        <f>Overview!L18</f>
        <v>0</v>
      </c>
      <c r="M4" s="18">
        <f>Overview!M18</f>
        <v>0</v>
      </c>
      <c r="N4" s="18">
        <f>Overview!N18</f>
        <v>1</v>
      </c>
      <c r="O4" s="18">
        <f>Overview!O18</f>
        <v>26.5</v>
      </c>
      <c r="P4" s="14">
        <f>Overview!P18</f>
        <v>991.4</v>
      </c>
    </row>
    <row r="5" spans="1:21" x14ac:dyDescent="0.25">
      <c r="A5" s="17" t="s">
        <v>17</v>
      </c>
      <c r="B5" s="18">
        <f>Overview!B8</f>
        <v>0</v>
      </c>
      <c r="C5" s="18">
        <f>Overview!C8</f>
        <v>6</v>
      </c>
      <c r="D5" s="18">
        <f>Overview!D8</f>
        <v>0</v>
      </c>
      <c r="E5" s="18">
        <f>Overview!E8</f>
        <v>0</v>
      </c>
      <c r="F5" s="18">
        <f>Overview!F8</f>
        <v>6</v>
      </c>
      <c r="G5" s="18">
        <f>Overview!G8</f>
        <v>0</v>
      </c>
      <c r="H5" s="18">
        <f>Overview!H8</f>
        <v>0</v>
      </c>
      <c r="I5" s="18">
        <f>Overview!I8</f>
        <v>6</v>
      </c>
      <c r="J5" s="18">
        <f>Overview!J8</f>
        <v>0</v>
      </c>
      <c r="K5" s="18">
        <f>Overview!K8</f>
        <v>0</v>
      </c>
      <c r="L5" s="18">
        <f>Overview!L8</f>
        <v>6</v>
      </c>
      <c r="M5" s="18">
        <f>Overview!M8</f>
        <v>0</v>
      </c>
      <c r="N5" s="18">
        <f>Overview!N8</f>
        <v>1</v>
      </c>
      <c r="O5" s="18">
        <f>Overview!O8</f>
        <v>24</v>
      </c>
      <c r="P5" s="13">
        <f>Overview!P8</f>
        <v>305.7</v>
      </c>
    </row>
    <row r="6" spans="1:21" x14ac:dyDescent="0.25">
      <c r="A6" s="17" t="s">
        <v>27</v>
      </c>
      <c r="B6" s="18">
        <f>Overview!B12</f>
        <v>0</v>
      </c>
      <c r="C6" s="18">
        <f>Overview!C12</f>
        <v>0</v>
      </c>
      <c r="D6" s="18">
        <f>Overview!D12</f>
        <v>0</v>
      </c>
      <c r="E6" s="18">
        <f>Overview!E12</f>
        <v>4</v>
      </c>
      <c r="F6" s="18">
        <f>Overview!F12</f>
        <v>0</v>
      </c>
      <c r="G6" s="18">
        <f>Overview!G12</f>
        <v>0</v>
      </c>
      <c r="H6" s="18">
        <f>Overview!H12</f>
        <v>0</v>
      </c>
      <c r="I6" s="18">
        <f>Overview!I12</f>
        <v>0</v>
      </c>
      <c r="J6" s="18">
        <f>Overview!J12</f>
        <v>0</v>
      </c>
      <c r="K6" s="18">
        <f>Overview!K12</f>
        <v>0</v>
      </c>
      <c r="L6" s="18">
        <f>Overview!L12</f>
        <v>4</v>
      </c>
      <c r="M6" s="18">
        <f>Overview!M12</f>
        <v>0</v>
      </c>
      <c r="N6" s="18">
        <f>Overview!N12</f>
        <v>1</v>
      </c>
      <c r="O6" s="18">
        <f>Overview!O12</f>
        <v>8</v>
      </c>
      <c r="P6" s="14">
        <f>Overview!P12</f>
        <v>161</v>
      </c>
    </row>
    <row r="7" spans="1:21" x14ac:dyDescent="0.25">
      <c r="A7" s="17" t="s">
        <v>19</v>
      </c>
      <c r="B7" s="18">
        <f>Overview!B2</f>
        <v>0</v>
      </c>
      <c r="C7" s="18">
        <f>Overview!C2</f>
        <v>0</v>
      </c>
      <c r="D7" s="18">
        <f>Overview!D2</f>
        <v>0</v>
      </c>
      <c r="E7" s="18">
        <f>Overview!E2</f>
        <v>0.75</v>
      </c>
      <c r="F7" s="18">
        <f>Overview!F2</f>
        <v>0</v>
      </c>
      <c r="G7" s="18">
        <f>Overview!G2</f>
        <v>0</v>
      </c>
      <c r="H7" s="18">
        <f>Overview!H2</f>
        <v>0</v>
      </c>
      <c r="I7" s="18">
        <f>Overview!I2</f>
        <v>0</v>
      </c>
      <c r="J7" s="18">
        <f>Overview!J2</f>
        <v>0</v>
      </c>
      <c r="K7" s="18">
        <f>Overview!K2</f>
        <v>0.75</v>
      </c>
      <c r="L7" s="18">
        <f>Overview!L2</f>
        <v>0</v>
      </c>
      <c r="M7" s="18">
        <f>Overview!M2</f>
        <v>0</v>
      </c>
      <c r="N7" s="18">
        <f>Overview!N2</f>
        <v>1</v>
      </c>
      <c r="O7" s="18">
        <f>Overview!O2</f>
        <v>1.5</v>
      </c>
      <c r="P7" s="14">
        <f>Overview!P2</f>
        <v>86.46</v>
      </c>
    </row>
    <row r="8" spans="1:21" x14ac:dyDescent="0.25">
      <c r="A8" s="19" t="s">
        <v>26</v>
      </c>
      <c r="B8" s="16">
        <f>Overview!B7</f>
        <v>0</v>
      </c>
      <c r="C8" s="16">
        <f>Overview!C7</f>
        <v>1.75</v>
      </c>
      <c r="D8" s="16">
        <f>Overview!D7</f>
        <v>0</v>
      </c>
      <c r="E8" s="16">
        <f>Overview!E7</f>
        <v>0</v>
      </c>
      <c r="F8" s="16">
        <f>Overview!F7</f>
        <v>1.75</v>
      </c>
      <c r="G8" s="16">
        <f>Overview!G7</f>
        <v>0</v>
      </c>
      <c r="H8" s="16">
        <f>Overview!H7</f>
        <v>0</v>
      </c>
      <c r="I8" s="16">
        <f>Overview!I7</f>
        <v>1.75</v>
      </c>
      <c r="J8" s="16">
        <f>Overview!J7</f>
        <v>0</v>
      </c>
      <c r="K8" s="16">
        <f>Overview!K7</f>
        <v>0</v>
      </c>
      <c r="L8" s="16">
        <f>Overview!L7</f>
        <v>1.75</v>
      </c>
      <c r="M8" s="16">
        <f>Overview!M7</f>
        <v>0</v>
      </c>
      <c r="N8" s="16">
        <f>Overview!N7</f>
        <v>1</v>
      </c>
      <c r="O8" s="16">
        <f>Overview!O7</f>
        <v>7</v>
      </c>
      <c r="P8" s="14">
        <f>Overview!P7</f>
        <v>80</v>
      </c>
    </row>
    <row r="9" spans="1:21" x14ac:dyDescent="0.25">
      <c r="A9" s="19" t="s">
        <v>20</v>
      </c>
      <c r="B9" s="16">
        <f>Overview!B5</f>
        <v>0</v>
      </c>
      <c r="C9" s="16">
        <f>Overview!C5</f>
        <v>0</v>
      </c>
      <c r="D9" s="16">
        <f>Overview!D5</f>
        <v>0</v>
      </c>
      <c r="E9" s="16">
        <f>Overview!E5</f>
        <v>0</v>
      </c>
      <c r="F9" s="16">
        <f>Overview!F5</f>
        <v>2</v>
      </c>
      <c r="G9" s="16">
        <f>Overview!G5</f>
        <v>0</v>
      </c>
      <c r="H9" s="16">
        <f>Overview!H5</f>
        <v>0</v>
      </c>
      <c r="I9" s="16">
        <f>Overview!I5</f>
        <v>0</v>
      </c>
      <c r="J9" s="16">
        <f>Overview!J5</f>
        <v>0</v>
      </c>
      <c r="K9" s="16">
        <f>Overview!K5</f>
        <v>0</v>
      </c>
      <c r="L9" s="16">
        <f>Overview!L5</f>
        <v>0</v>
      </c>
      <c r="M9" s="16">
        <f>Overview!M5</f>
        <v>0</v>
      </c>
      <c r="N9" s="16">
        <f>Overview!N5</f>
        <v>1</v>
      </c>
      <c r="O9" s="16">
        <f>Overview!O5</f>
        <v>2</v>
      </c>
      <c r="P9" s="14">
        <f>Overview!P5</f>
        <v>26.46</v>
      </c>
    </row>
    <row r="10" spans="1:21" x14ac:dyDescent="0.25">
      <c r="A10" s="17" t="s">
        <v>21</v>
      </c>
      <c r="B10" s="18">
        <f>Overview!B10</f>
        <v>0</v>
      </c>
      <c r="C10" s="18">
        <f>Overview!C10</f>
        <v>0</v>
      </c>
      <c r="D10" s="18">
        <f>Overview!D10</f>
        <v>0</v>
      </c>
      <c r="E10" s="18">
        <f>Overview!E10</f>
        <v>0</v>
      </c>
      <c r="F10" s="18">
        <f>Overview!F10</f>
        <v>2.25</v>
      </c>
      <c r="G10" s="18">
        <f>Overview!G10</f>
        <v>0</v>
      </c>
      <c r="H10" s="18">
        <f>Overview!H10</f>
        <v>0</v>
      </c>
      <c r="I10" s="18">
        <f>Overview!I10</f>
        <v>0</v>
      </c>
      <c r="J10" s="18">
        <f>Overview!J10</f>
        <v>0</v>
      </c>
      <c r="K10" s="18">
        <f>Overview!K10</f>
        <v>0</v>
      </c>
      <c r="L10" s="18">
        <f>Overview!L10</f>
        <v>0</v>
      </c>
      <c r="M10" s="18">
        <f>Overview!M10</f>
        <v>0</v>
      </c>
      <c r="N10" s="18">
        <f>Overview!N10</f>
        <v>1</v>
      </c>
      <c r="O10" s="18">
        <f>Overview!O10</f>
        <v>2.25</v>
      </c>
      <c r="P10" s="14">
        <f>Overview!P10</f>
        <v>172.3</v>
      </c>
    </row>
    <row r="11" spans="1:21" x14ac:dyDescent="0.25">
      <c r="A11" s="19" t="s">
        <v>22</v>
      </c>
      <c r="B11" s="16">
        <f>Overview!B9</f>
        <v>5</v>
      </c>
      <c r="C11" s="16">
        <f>Overview!C9</f>
        <v>0</v>
      </c>
      <c r="D11" s="16">
        <f>Overview!D9</f>
        <v>0</v>
      </c>
      <c r="E11" s="16">
        <f>Overview!E9</f>
        <v>5</v>
      </c>
      <c r="F11" s="16">
        <f>Overview!F9</f>
        <v>0</v>
      </c>
      <c r="G11" s="16">
        <f>Overview!G9</f>
        <v>0</v>
      </c>
      <c r="H11" s="16">
        <f>Overview!H9</f>
        <v>5</v>
      </c>
      <c r="I11" s="16">
        <f>Overview!I9</f>
        <v>0</v>
      </c>
      <c r="J11" s="16">
        <f>Overview!J9</f>
        <v>0</v>
      </c>
      <c r="K11" s="16">
        <f>Overview!K9</f>
        <v>5</v>
      </c>
      <c r="L11" s="16">
        <f>Overview!L9</f>
        <v>0</v>
      </c>
      <c r="M11" s="16">
        <f>Overview!M9</f>
        <v>0</v>
      </c>
      <c r="N11" s="16">
        <f>Overview!N9</f>
        <v>1</v>
      </c>
      <c r="O11" s="16">
        <f>Overview!O9</f>
        <v>20</v>
      </c>
      <c r="P11" s="13">
        <f>Overview!P9</f>
        <v>301.3</v>
      </c>
    </row>
    <row r="12" spans="1:21" x14ac:dyDescent="0.25">
      <c r="A12" s="17" t="s">
        <v>23</v>
      </c>
      <c r="B12" s="18">
        <f>Overview!B4</f>
        <v>0</v>
      </c>
      <c r="C12" s="18">
        <f>Overview!C4</f>
        <v>0</v>
      </c>
      <c r="D12" s="18">
        <f>Overview!D4</f>
        <v>0</v>
      </c>
      <c r="E12" s="18">
        <f>Overview!E4</f>
        <v>0</v>
      </c>
      <c r="F12" s="18">
        <f>Overview!F4</f>
        <v>8</v>
      </c>
      <c r="G12" s="18">
        <f>Overview!G4</f>
        <v>0</v>
      </c>
      <c r="H12" s="18">
        <f>Overview!H4</f>
        <v>0</v>
      </c>
      <c r="I12" s="18">
        <f>Overview!I4</f>
        <v>0</v>
      </c>
      <c r="J12" s="18">
        <f>Overview!J4</f>
        <v>0</v>
      </c>
      <c r="K12" s="18">
        <f>Overview!K4</f>
        <v>0</v>
      </c>
      <c r="L12" s="18">
        <f>Overview!L4</f>
        <v>4</v>
      </c>
      <c r="M12" s="18">
        <f>Overview!M4</f>
        <v>0</v>
      </c>
      <c r="N12" s="18">
        <f>Overview!N4</f>
        <v>1</v>
      </c>
      <c r="O12" s="18">
        <f>Overview!O4</f>
        <v>12</v>
      </c>
      <c r="P12" s="14">
        <f>Overview!P4</f>
        <v>506.2</v>
      </c>
    </row>
    <row r="13" spans="1:21" x14ac:dyDescent="0.25">
      <c r="A13" s="19" t="s">
        <v>28</v>
      </c>
      <c r="B13" s="16">
        <f>Overview!B13</f>
        <v>0</v>
      </c>
      <c r="C13" s="16">
        <f>Overview!C13</f>
        <v>0</v>
      </c>
      <c r="D13" s="16">
        <f>Overview!D13</f>
        <v>0</v>
      </c>
      <c r="E13" s="16">
        <f>Overview!E13</f>
        <v>0</v>
      </c>
      <c r="F13" s="16">
        <f>Overview!F13</f>
        <v>0</v>
      </c>
      <c r="G13" s="16">
        <f>Overview!G13</f>
        <v>1.1000000000000001</v>
      </c>
      <c r="H13" s="16">
        <f>Overview!H13</f>
        <v>0</v>
      </c>
      <c r="I13" s="16">
        <f>Overview!I13</f>
        <v>0</v>
      </c>
      <c r="J13" s="16">
        <f>Overview!J13</f>
        <v>0</v>
      </c>
      <c r="K13" s="16">
        <f>Overview!K13</f>
        <v>0</v>
      </c>
      <c r="L13" s="16">
        <f>Overview!L13</f>
        <v>0</v>
      </c>
      <c r="M13" s="16">
        <f>Overview!M13</f>
        <v>1.1000000000000001</v>
      </c>
      <c r="N13" s="16">
        <f>Overview!N13</f>
        <v>1</v>
      </c>
      <c r="O13" s="16">
        <f>Overview!O13</f>
        <v>2.2000000000000002</v>
      </c>
      <c r="P13" s="14">
        <f>Overview!P13</f>
        <v>184.4</v>
      </c>
    </row>
    <row r="14" spans="1:21" x14ac:dyDescent="0.25">
      <c r="A14" s="19" t="s">
        <v>30</v>
      </c>
      <c r="B14" s="16">
        <f>Overview!B15</f>
        <v>0</v>
      </c>
      <c r="C14" s="16">
        <f>Overview!C15</f>
        <v>0</v>
      </c>
      <c r="D14" s="16">
        <f>Overview!D15</f>
        <v>3.25</v>
      </c>
      <c r="E14" s="16">
        <f>Overview!E15</f>
        <v>0</v>
      </c>
      <c r="F14" s="16">
        <f>Overview!F15</f>
        <v>0</v>
      </c>
      <c r="G14" s="16">
        <f>Overview!G15</f>
        <v>0</v>
      </c>
      <c r="H14" s="16">
        <f>Overview!H15</f>
        <v>0</v>
      </c>
      <c r="I14" s="16">
        <f>Overview!I15</f>
        <v>0</v>
      </c>
      <c r="J14" s="16">
        <f>Overview!J15</f>
        <v>3.25</v>
      </c>
      <c r="K14" s="16">
        <f>Overview!K15</f>
        <v>0</v>
      </c>
      <c r="L14" s="16">
        <f>Overview!L15</f>
        <v>0</v>
      </c>
      <c r="M14" s="16">
        <f>Overview!M15</f>
        <v>0</v>
      </c>
      <c r="N14" s="16">
        <f>Overview!N15</f>
        <v>0</v>
      </c>
      <c r="O14" s="16">
        <f>Overview!O15</f>
        <v>0</v>
      </c>
      <c r="P14" s="14">
        <f>Overview!P15</f>
        <v>176.2</v>
      </c>
    </row>
    <row r="15" spans="1:21" x14ac:dyDescent="0.25">
      <c r="A15" s="17" t="s">
        <v>31</v>
      </c>
      <c r="B15" s="18">
        <f>Overview!B16</f>
        <v>0</v>
      </c>
      <c r="C15" s="18">
        <f>Overview!C16</f>
        <v>0</v>
      </c>
      <c r="D15" s="18">
        <f>Overview!D16</f>
        <v>3.5</v>
      </c>
      <c r="E15" s="18">
        <f>Overview!E16</f>
        <v>0</v>
      </c>
      <c r="F15" s="18">
        <f>Overview!F16</f>
        <v>0</v>
      </c>
      <c r="G15" s="18">
        <f>Overview!G16</f>
        <v>0</v>
      </c>
      <c r="H15" s="18">
        <f>Overview!H16</f>
        <v>0</v>
      </c>
      <c r="I15" s="18">
        <f>Overview!I16</f>
        <v>0</v>
      </c>
      <c r="J15" s="18">
        <f>Overview!J16</f>
        <v>3.5</v>
      </c>
      <c r="K15" s="18">
        <f>Overview!K16</f>
        <v>0</v>
      </c>
      <c r="L15" s="18">
        <f>Overview!L16</f>
        <v>0</v>
      </c>
      <c r="M15" s="18">
        <f>Overview!M16</f>
        <v>0</v>
      </c>
      <c r="N15" s="18">
        <f>Overview!N16</f>
        <v>0</v>
      </c>
      <c r="O15" s="18">
        <f>Overview!O16</f>
        <v>0</v>
      </c>
      <c r="P15" s="14">
        <f>Overview!P16</f>
        <v>201.8</v>
      </c>
    </row>
    <row r="16" spans="1:21" x14ac:dyDescent="0.25">
      <c r="A16" s="17" t="s">
        <v>25</v>
      </c>
      <c r="B16" s="18">
        <f>Overview!B6</f>
        <v>0</v>
      </c>
      <c r="C16" s="18">
        <f>Overview!C6</f>
        <v>0</v>
      </c>
      <c r="D16" s="18">
        <f>Overview!D6</f>
        <v>0</v>
      </c>
      <c r="E16" s="18">
        <f>Overview!E6</f>
        <v>0</v>
      </c>
      <c r="F16" s="18">
        <f>Overview!F6</f>
        <v>4</v>
      </c>
      <c r="G16" s="18">
        <f>Overview!G6</f>
        <v>0</v>
      </c>
      <c r="H16" s="18">
        <f>Overview!H6</f>
        <v>0</v>
      </c>
      <c r="I16" s="18">
        <f>Overview!I6</f>
        <v>0</v>
      </c>
      <c r="J16" s="18">
        <f>Overview!J6</f>
        <v>0</v>
      </c>
      <c r="K16" s="18">
        <f>Overview!K6</f>
        <v>0</v>
      </c>
      <c r="L16" s="18">
        <f>Overview!L6</f>
        <v>4</v>
      </c>
      <c r="M16" s="18">
        <f>Overview!M6</f>
        <v>0</v>
      </c>
      <c r="N16" s="18">
        <f>Overview!N6</f>
        <v>1</v>
      </c>
      <c r="O16" s="18">
        <f>Overview!O6</f>
        <v>8</v>
      </c>
      <c r="P16" s="14">
        <f>Overview!P6</f>
        <v>263.3</v>
      </c>
    </row>
    <row r="17" spans="1:16" x14ac:dyDescent="0.25">
      <c r="A17" s="17" t="s">
        <v>29</v>
      </c>
      <c r="B17" s="18">
        <f>Overview!B14</f>
        <v>0</v>
      </c>
      <c r="C17" s="18">
        <f>Overview!C14</f>
        <v>0</v>
      </c>
      <c r="D17" s="18">
        <f>Overview!D14</f>
        <v>0</v>
      </c>
      <c r="E17" s="18">
        <f>Overview!E14</f>
        <v>3.15</v>
      </c>
      <c r="F17" s="18">
        <f>Overview!F14</f>
        <v>0</v>
      </c>
      <c r="G17" s="18">
        <f>Overview!G14</f>
        <v>0</v>
      </c>
      <c r="H17" s="18">
        <f>Overview!H14</f>
        <v>0</v>
      </c>
      <c r="I17" s="18">
        <f>Overview!I14</f>
        <v>0</v>
      </c>
      <c r="J17" s="18">
        <f>Overview!J14</f>
        <v>0</v>
      </c>
      <c r="K17" s="18">
        <f>Overview!K14</f>
        <v>3.15</v>
      </c>
      <c r="L17" s="18">
        <f>Overview!L14</f>
        <v>0</v>
      </c>
      <c r="M17" s="18">
        <f>Overview!M14</f>
        <v>0</v>
      </c>
      <c r="N17" s="18">
        <f>Overview!N14</f>
        <v>0</v>
      </c>
      <c r="O17" s="18">
        <f>Overview!O14</f>
        <v>0</v>
      </c>
      <c r="P17" s="14">
        <f>Overview!P14</f>
        <v>359</v>
      </c>
    </row>
    <row r="18" spans="1:16" x14ac:dyDescent="0.25">
      <c r="A18" s="19" t="s">
        <v>24</v>
      </c>
      <c r="B18" s="16">
        <f>Overview!B11</f>
        <v>0</v>
      </c>
      <c r="C18" s="16">
        <f>Overview!C11</f>
        <v>5.5</v>
      </c>
      <c r="D18" s="16">
        <f>Overview!D11</f>
        <v>0</v>
      </c>
      <c r="E18" s="16">
        <f>Overview!E11</f>
        <v>0</v>
      </c>
      <c r="F18" s="16">
        <f>Overview!F11</f>
        <v>5.5</v>
      </c>
      <c r="G18" s="16">
        <f>Overview!G11</f>
        <v>0</v>
      </c>
      <c r="H18" s="16">
        <f>Overview!H11</f>
        <v>0</v>
      </c>
      <c r="I18" s="16">
        <f>Overview!I11</f>
        <v>5.5</v>
      </c>
      <c r="J18" s="16">
        <f>Overview!J11</f>
        <v>0</v>
      </c>
      <c r="K18" s="16">
        <f>Overview!K11</f>
        <v>0</v>
      </c>
      <c r="L18" s="16">
        <f>Overview!L11</f>
        <v>5.5</v>
      </c>
      <c r="M18" s="16">
        <f>Overview!M11</f>
        <v>0</v>
      </c>
      <c r="N18" s="16">
        <f>Overview!N11</f>
        <v>1</v>
      </c>
      <c r="O18" s="16">
        <f>Overview!O11</f>
        <v>22</v>
      </c>
      <c r="P18" s="14">
        <f>Overview!P11</f>
        <v>595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3</vt:i4>
      </vt:variant>
    </vt:vector>
  </HeadingPairs>
  <TitlesOfParts>
    <vt:vector size="3" baseType="lpstr">
      <vt:lpstr>Overview</vt:lpstr>
      <vt:lpstr>Python</vt:lpstr>
      <vt:lpstr>Blad1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2020-07-29T19:49:29Z</dcterms:modified>
</cp:coreProperties>
</file>