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D:\Github\Magic_Stocks\"/>
    </mc:Choice>
  </mc:AlternateContent>
  <xr:revisionPtr revIDLastSave="0" documentId="13_ncr:1_{6CCE55D3-CB4A-4982-8A8D-6503C2A53B2A}" xr6:coauthVersionLast="45" xr6:coauthVersionMax="45" xr10:uidLastSave="{00000000-0000-0000-0000-000000000000}"/>
  <bookViews>
    <workbookView xWindow="-120" yWindow="-120" windowWidth="29040" windowHeight="15840" xr2:uid="{3722F58C-EB81-4D02-B60E-D8F800BE24A1}"/>
  </bookViews>
  <sheets>
    <sheet name="Overview" sheetId="1" r:id="rId1"/>
    <sheet name="Python"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2" l="1"/>
  <c r="C2" i="2"/>
  <c r="D2" i="2"/>
  <c r="E2" i="2"/>
  <c r="F2" i="2"/>
  <c r="G2" i="2"/>
  <c r="H2" i="2"/>
  <c r="I2" i="2"/>
  <c r="J2" i="2"/>
  <c r="K2" i="2"/>
  <c r="L2" i="2"/>
  <c r="M2" i="2"/>
  <c r="N2" i="2"/>
  <c r="O2" i="2"/>
  <c r="P2" i="2"/>
  <c r="B3" i="2"/>
  <c r="C3" i="2"/>
  <c r="D3" i="2"/>
  <c r="E3" i="2"/>
  <c r="F3" i="2"/>
  <c r="G3" i="2"/>
  <c r="H3" i="2"/>
  <c r="I3" i="2"/>
  <c r="J3" i="2"/>
  <c r="K3" i="2"/>
  <c r="L3" i="2"/>
  <c r="M3" i="2"/>
  <c r="N3" i="2"/>
  <c r="O3" i="2"/>
  <c r="P3" i="2"/>
  <c r="B4" i="2"/>
  <c r="C4" i="2"/>
  <c r="D4" i="2"/>
  <c r="E4" i="2"/>
  <c r="F4" i="2"/>
  <c r="G4" i="2"/>
  <c r="H4" i="2"/>
  <c r="I4" i="2"/>
  <c r="J4" i="2"/>
  <c r="K4" i="2"/>
  <c r="L4" i="2"/>
  <c r="M4" i="2"/>
  <c r="N4" i="2"/>
  <c r="O4" i="2"/>
  <c r="P4" i="2"/>
  <c r="B5" i="2"/>
  <c r="C5" i="2"/>
  <c r="D5" i="2"/>
  <c r="E5" i="2"/>
  <c r="F5" i="2"/>
  <c r="G5" i="2"/>
  <c r="H5" i="2"/>
  <c r="I5" i="2"/>
  <c r="J5" i="2"/>
  <c r="K5" i="2"/>
  <c r="L5" i="2"/>
  <c r="M5" i="2"/>
  <c r="N5" i="2"/>
  <c r="O5" i="2"/>
  <c r="P5" i="2"/>
  <c r="B6" i="2"/>
  <c r="C6" i="2"/>
  <c r="D6" i="2"/>
  <c r="E6" i="2"/>
  <c r="F6" i="2"/>
  <c r="G6" i="2"/>
  <c r="H6" i="2"/>
  <c r="I6" i="2"/>
  <c r="J6" i="2"/>
  <c r="K6" i="2"/>
  <c r="L6" i="2"/>
  <c r="M6" i="2"/>
  <c r="N6" i="2"/>
  <c r="O6" i="2"/>
  <c r="P6" i="2"/>
  <c r="B7" i="2"/>
  <c r="C7" i="2"/>
  <c r="D7" i="2"/>
  <c r="E7" i="2"/>
  <c r="F7" i="2"/>
  <c r="G7" i="2"/>
  <c r="H7" i="2"/>
  <c r="I7" i="2"/>
  <c r="J7" i="2"/>
  <c r="K7" i="2"/>
  <c r="L7" i="2"/>
  <c r="M7" i="2"/>
  <c r="N7" i="2"/>
  <c r="O7" i="2"/>
  <c r="P7" i="2"/>
  <c r="B8" i="2"/>
  <c r="C8" i="2"/>
  <c r="D8" i="2"/>
  <c r="E8" i="2"/>
  <c r="F8" i="2"/>
  <c r="G8" i="2"/>
  <c r="H8" i="2"/>
  <c r="I8" i="2"/>
  <c r="J8" i="2"/>
  <c r="K8" i="2"/>
  <c r="L8" i="2"/>
  <c r="M8" i="2"/>
  <c r="N8" i="2"/>
  <c r="O8" i="2"/>
  <c r="P8" i="2"/>
  <c r="B9" i="2"/>
  <c r="C9" i="2"/>
  <c r="D9" i="2"/>
  <c r="E9" i="2"/>
  <c r="F9" i="2"/>
  <c r="G9" i="2"/>
  <c r="H9" i="2"/>
  <c r="I9" i="2"/>
  <c r="J9" i="2"/>
  <c r="K9" i="2"/>
  <c r="L9" i="2"/>
  <c r="M9" i="2"/>
  <c r="N9" i="2"/>
  <c r="O9" i="2"/>
  <c r="P9" i="2"/>
  <c r="A10" i="2"/>
  <c r="B10" i="2"/>
  <c r="C10" i="2"/>
  <c r="D10" i="2"/>
  <c r="E10" i="2"/>
  <c r="F10" i="2"/>
  <c r="G10" i="2"/>
  <c r="H10" i="2"/>
  <c r="I10" i="2"/>
  <c r="J10" i="2"/>
  <c r="K10" i="2"/>
  <c r="L10" i="2"/>
  <c r="M10" i="2"/>
  <c r="N10" i="2"/>
  <c r="O10" i="2"/>
  <c r="P10" i="2"/>
  <c r="N21" i="1"/>
  <c r="M21" i="1"/>
  <c r="L21" i="1"/>
  <c r="K21" i="1"/>
  <c r="J21" i="1"/>
  <c r="I21" i="1"/>
  <c r="H21" i="1"/>
  <c r="G21" i="1"/>
  <c r="F21" i="1"/>
  <c r="E21" i="1"/>
  <c r="D21" i="1"/>
  <c r="C21" i="1"/>
  <c r="B21" i="1"/>
  <c r="P3" i="1" a="1"/>
  <c r="P3" i="1" s="1"/>
  <c r="O3" i="1"/>
  <c r="P2" i="1" a="1"/>
  <c r="P2" i="1" s="1"/>
  <c r="O2" i="1"/>
  <c r="O21"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6"/>
        </ext>
      </extLst>
    </bk>
    <bk>
      <extLst>
        <ext uri="{3e2802c4-a4d2-4d8b-9148-e3be6c30e623}">
          <xlrd:rvb i="12"/>
        </ext>
      </extLst>
    </bk>
  </futureMetadata>
  <cellMetadata count="1">
    <bk>
      <rc t="1" v="0"/>
    </bk>
  </cellMetadata>
  <valueMetadata count="2">
    <bk>
      <rc t="2" v="0"/>
    </bk>
    <bk>
      <rc t="2" v="1"/>
    </bk>
  </valueMetadata>
</metadata>
</file>

<file path=xl/sharedStrings.xml><?xml version="1.0" encoding="utf-8"?>
<sst xmlns="http://schemas.openxmlformats.org/spreadsheetml/2006/main" count="35" uniqueCount="19">
  <si>
    <t>Jan</t>
  </si>
  <si>
    <t>Feb</t>
  </si>
  <si>
    <t>Mar</t>
  </si>
  <si>
    <t>Apr</t>
  </si>
  <si>
    <t>Maj</t>
  </si>
  <si>
    <t>Jun</t>
  </si>
  <si>
    <t>Jul</t>
  </si>
  <si>
    <t>Aug</t>
  </si>
  <si>
    <t>Sep</t>
  </si>
  <si>
    <t>Okt</t>
  </si>
  <si>
    <t>Nov</t>
  </si>
  <si>
    <t>Dec</t>
  </si>
  <si>
    <t>Previous close</t>
  </si>
  <si>
    <t>Amount of stocks</t>
  </si>
  <si>
    <t>Total devidend each month*</t>
  </si>
  <si>
    <t>Total yearly devidend per stock*</t>
  </si>
  <si>
    <r>
      <rPr>
        <vertAlign val="subscript"/>
        <sz val="20"/>
        <color rgb="FF9C5700"/>
        <rFont val="Calibri"/>
        <family val="2"/>
        <scheme val="minor"/>
      </rPr>
      <t>Stock name</t>
    </r>
    <r>
      <rPr>
        <sz val="20"/>
        <color rgb="FF9C5700"/>
        <rFont val="Calibri"/>
        <family val="2"/>
        <scheme val="minor"/>
      </rPr>
      <t xml:space="preserve">               </t>
    </r>
    <r>
      <rPr>
        <vertAlign val="superscript"/>
        <sz val="20"/>
        <color rgb="FF9C5700"/>
        <rFont val="Calibri"/>
        <family val="2"/>
        <scheme val="minor"/>
      </rPr>
      <t>Devidend per stock</t>
    </r>
  </si>
  <si>
    <t>Telefonaktiebolaget LM Ericsson (XSTO:ERIC B)</t>
  </si>
  <si>
    <t>H &amp; M Hennes &amp; Mauritz AB (XSTO:HM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</si>
</sst>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kr-41D]_-;\-* #,##0.00\ [$kr-41D]_-;_-* &quot;-&quot;??\ [$kr-41D]_-;_-@_-"/>
    <numFmt numFmtId="167" formatCode="_([$$-409]* #,##0.00_);_([$$-409]* \(#,##0.00\);_([$$-409]* &quot;-&quot;??_);_(@_)"/>
  </numFmts>
  <fonts count="7" x14ac:knownFonts="1">
    <font>
      <sz val="11"/>
      <color theme="1"/>
      <name val="Calibri"/>
      <family val="2"/>
      <scheme val="minor"/>
    </font>
    <font>
      <sz val="11"/>
      <color theme="1"/>
      <name val="Calibri"/>
      <family val="2"/>
      <scheme val="minor"/>
    </font>
    <font>
      <sz val="11"/>
      <color rgb="FF9C5700"/>
      <name val="Calibri"/>
      <family val="2"/>
      <scheme val="minor"/>
    </font>
    <font>
      <sz val="20"/>
      <color rgb="FF9C5700"/>
      <name val="Calibri"/>
      <family val="2"/>
      <scheme val="minor"/>
    </font>
    <font>
      <b/>
      <sz val="20"/>
      <color rgb="FF9C5700"/>
      <name val="Calibri"/>
      <family val="2"/>
      <scheme val="minor"/>
    </font>
    <font>
      <vertAlign val="superscript"/>
      <sz val="20"/>
      <color rgb="FF9C5700"/>
      <name val="Calibri"/>
      <family val="2"/>
      <scheme val="minor"/>
    </font>
    <font>
      <vertAlign val="subscript"/>
      <sz val="20"/>
      <color rgb="FF9C5700"/>
      <name val="Calibri"/>
      <family val="2"/>
      <scheme val="minor"/>
    </font>
  </fonts>
  <fills count="9">
    <fill>
      <patternFill patternType="none"/>
    </fill>
    <fill>
      <patternFill patternType="gray125"/>
    </fill>
    <fill>
      <patternFill patternType="solid">
        <fgColor rgb="FFFFEB9C"/>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s>
  <borders count="11">
    <border>
      <left/>
      <right/>
      <top/>
      <bottom/>
      <diagonal/>
    </border>
    <border>
      <left style="thin">
        <color rgb="FFB2B2B2"/>
      </left>
      <right style="thin">
        <color rgb="FFB2B2B2"/>
      </right>
      <top style="thin">
        <color rgb="FFB2B2B2"/>
      </top>
      <bottom style="thin">
        <color rgb="FFB2B2B2"/>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rgb="FFFF0000"/>
      </bottom>
      <diagonal/>
    </border>
    <border>
      <left style="thin">
        <color auto="1"/>
      </left>
      <right style="thin">
        <color auto="1"/>
      </right>
      <top style="thin">
        <color auto="1"/>
      </top>
      <bottom style="thin">
        <color rgb="FFFF0000"/>
      </bottom>
      <diagonal/>
    </border>
    <border>
      <left style="thin">
        <color auto="1"/>
      </left>
      <right style="thin">
        <color auto="1"/>
      </right>
      <top style="thin">
        <color theme="0"/>
      </top>
      <bottom style="thin">
        <color auto="1"/>
      </bottom>
      <diagonal/>
    </border>
    <border diagonalDown="1">
      <left/>
      <right style="thin">
        <color auto="1"/>
      </right>
      <top/>
      <bottom style="thin">
        <color auto="1"/>
      </bottom>
      <diagonal style="thin">
        <color auto="1"/>
      </diagonal>
    </border>
    <border diagonalDown="1">
      <left style="thin">
        <color auto="1"/>
      </left>
      <right style="thin">
        <color auto="1"/>
      </right>
      <top style="thin">
        <color auto="1"/>
      </top>
      <bottom style="thin">
        <color auto="1"/>
      </bottom>
      <diagonal style="thin">
        <color auto="1"/>
      </diagonal>
    </border>
  </borders>
  <cellStyleXfs count="8">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cellStyleXfs>
  <cellXfs count="41">
    <xf numFmtId="0" fontId="0" fillId="0" borderId="0" xfId="0"/>
    <xf numFmtId="0" fontId="3" fillId="2" borderId="3" xfId="1" applyFont="1" applyBorder="1"/>
    <xf numFmtId="0" fontId="1" fillId="4" borderId="4" xfId="3" applyBorder="1" applyAlignment="1">
      <alignment horizontal="left"/>
    </xf>
    <xf numFmtId="0" fontId="1" fillId="4" borderId="5" xfId="3" applyBorder="1"/>
    <xf numFmtId="164" fontId="1" fillId="4" borderId="5" xfId="3" applyNumberFormat="1" applyBorder="1"/>
    <xf numFmtId="0" fontId="1" fillId="3" borderId="4" xfId="2" applyBorder="1" applyAlignment="1">
      <alignment horizontal="left"/>
    </xf>
    <xf numFmtId="0" fontId="1" fillId="3" borderId="5" xfId="2" applyBorder="1"/>
    <xf numFmtId="164" fontId="1" fillId="3" borderId="5" xfId="2" applyNumberFormat="1" applyBorder="1"/>
    <xf numFmtId="0" fontId="1" fillId="3" borderId="2" xfId="2" applyBorder="1" applyAlignment="1">
      <alignment horizontal="left"/>
    </xf>
    <xf numFmtId="0" fontId="1" fillId="3" borderId="3" xfId="2" applyBorder="1"/>
    <xf numFmtId="164" fontId="1" fillId="3" borderId="3" xfId="2" applyNumberFormat="1" applyBorder="1"/>
    <xf numFmtId="167" fontId="1" fillId="4" borderId="5" xfId="3" applyNumberFormat="1" applyBorder="1"/>
    <xf numFmtId="167" fontId="1" fillId="3" borderId="5" xfId="2" applyNumberFormat="1" applyBorder="1"/>
    <xf numFmtId="0" fontId="1" fillId="6" borderId="4" xfId="5" applyBorder="1" applyAlignment="1">
      <alignment horizontal="left"/>
    </xf>
    <xf numFmtId="0" fontId="1" fillId="6" borderId="5" xfId="5" applyBorder="1"/>
    <xf numFmtId="164" fontId="1" fillId="6" borderId="5" xfId="5" applyNumberFormat="1" applyBorder="1"/>
    <xf numFmtId="0" fontId="1" fillId="7" borderId="4" xfId="6" applyBorder="1" applyAlignment="1">
      <alignment horizontal="left"/>
    </xf>
    <xf numFmtId="0" fontId="1" fillId="7" borderId="5" xfId="6" applyBorder="1"/>
    <xf numFmtId="164" fontId="1" fillId="7" borderId="5" xfId="6" applyNumberFormat="1" applyBorder="1"/>
    <xf numFmtId="0" fontId="1" fillId="7" borderId="6" xfId="6" applyBorder="1" applyAlignment="1">
      <alignment horizontal="left"/>
    </xf>
    <xf numFmtId="0" fontId="1" fillId="7" borderId="7" xfId="6" applyBorder="1"/>
    <xf numFmtId="164" fontId="1" fillId="7" borderId="7" xfId="6" applyNumberFormat="1" applyBorder="1"/>
    <xf numFmtId="0" fontId="1" fillId="6" borderId="4" xfId="5" applyBorder="1" applyAlignment="1">
      <alignment horizontal="left" vertical="top"/>
    </xf>
    <xf numFmtId="164" fontId="1" fillId="6" borderId="3" xfId="5" applyNumberFormat="1" applyBorder="1"/>
    <xf numFmtId="0" fontId="1" fillId="8" borderId="1" xfId="7" applyBorder="1"/>
    <xf numFmtId="0" fontId="1" fillId="5" borderId="5" xfId="4" applyBorder="1"/>
    <xf numFmtId="0" fontId="0" fillId="5" borderId="5" xfId="4" applyFont="1" applyBorder="1"/>
    <xf numFmtId="0" fontId="3" fillId="2" borderId="9" xfId="1" applyFont="1" applyBorder="1"/>
    <xf numFmtId="0" fontId="4" fillId="2" borderId="10" xfId="1" applyFont="1" applyFill="1" applyBorder="1"/>
    <xf numFmtId="0" fontId="4" fillId="2" borderId="5" xfId="1" applyFont="1" applyFill="1" applyBorder="1"/>
    <xf numFmtId="0" fontId="0" fillId="4" borderId="5" xfId="3" applyFont="1" applyFill="1" applyBorder="1" applyAlignment="1">
      <alignment horizontal="left"/>
    </xf>
    <xf numFmtId="0" fontId="0" fillId="4" borderId="5" xfId="3" applyFont="1" applyFill="1" applyBorder="1"/>
    <xf numFmtId="164" fontId="0" fillId="4" borderId="5" xfId="3" applyNumberFormat="1" applyFont="1" applyFill="1" applyBorder="1"/>
    <xf numFmtId="0" fontId="0" fillId="3" borderId="5" xfId="2" applyFont="1" applyFill="1" applyBorder="1" applyAlignment="1">
      <alignment horizontal="left"/>
    </xf>
    <xf numFmtId="0" fontId="0" fillId="3" borderId="5" xfId="2" applyFont="1" applyFill="1" applyBorder="1"/>
    <xf numFmtId="164" fontId="0" fillId="3" borderId="5" xfId="2" applyNumberFormat="1" applyFont="1" applyFill="1" applyBorder="1"/>
    <xf numFmtId="0" fontId="0" fillId="3" borderId="8" xfId="2" applyFont="1" applyFill="1" applyBorder="1" applyAlignment="1">
      <alignment horizontal="left"/>
    </xf>
    <xf numFmtId="0" fontId="0" fillId="3" borderId="8" xfId="2" applyFont="1" applyFill="1" applyBorder="1"/>
    <xf numFmtId="164" fontId="0" fillId="3" borderId="8" xfId="2" applyNumberFormat="1" applyFont="1" applyFill="1" applyBorder="1"/>
    <xf numFmtId="167" fontId="0" fillId="4" borderId="5" xfId="3" applyNumberFormat="1" applyFont="1" applyFill="1" applyBorder="1"/>
    <xf numFmtId="167" fontId="0" fillId="3" borderId="5" xfId="2" applyNumberFormat="1" applyFont="1" applyFill="1" applyBorder="1"/>
  </cellXfs>
  <cellStyles count="8">
    <cellStyle name="20 % - Dekorfärg4" xfId="4" builtinId="42"/>
    <cellStyle name="20 % - Dekorfärg5" xfId="5" builtinId="46"/>
    <cellStyle name="20 % - Dekorfärg6" xfId="7" builtinId="50"/>
    <cellStyle name="40 % - Dekorfärg3" xfId="2" builtinId="39"/>
    <cellStyle name="40 % - Dekorfärg5" xfId="6" builtinId="47"/>
    <cellStyle name="60 % - Dekorfärg3" xfId="3" builtinId="40"/>
    <cellStyle name="Neutral" xfId="1" builtinId="28"/>
    <cellStyle name="Normal" xfId="0" builtinId="0"/>
  </cellStyles>
  <dxfs count="20">
    <dxf>
      <numFmt numFmtId="164" formatCode="_-* #,##0.00\ [$kr-41D]_-;\-* #,##0.00\ [$kr-41D]_-;_-* &quot;-&quot;??\ [$kr-41D]_-;_-@_-"/>
      <border diagonalUp="0" diagonalDown="0">
        <left style="thin">
          <color auto="1"/>
        </left>
        <right style="thin">
          <color auto="1"/>
        </right>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20"/>
        <color rgb="FF9C5700"/>
        <name val="Calibri"/>
        <family val="2"/>
        <scheme val="minor"/>
      </font>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externalLink" Target="externalLinks/externalLink1.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pieChart>
        <c:varyColors val="1"/>
        <c:ser>
          <c:idx val="15"/>
          <c:order val="0"/>
          <c:tx>
            <c:v>Stocks holding</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Overview!$A$2:$A$3</c:f>
              <c:strCache>
                <c:ptCount val="2"/>
                <c:pt idx="0">
                  <c:v>Telefonaktiebolaget LM Ericsson (XSTO:ERIC B)</c:v>
                </c:pt>
                <c:pt idx="1">
                  <c:v>H &amp; M Hennes &amp; Mauritz AB (XSTO:HM B)</c:v>
                </c:pt>
              </c:strCache>
            </c:strRef>
          </c:cat>
          <c:val>
            <c:numRef>
              <c:f>Overview!$N$2:$N$3</c:f>
              <c:numCache>
                <c:formatCode>General</c:formatCode>
                <c:ptCount val="2"/>
                <c:pt idx="0">
                  <c:v>1000</c:v>
                </c:pt>
                <c:pt idx="1">
                  <c:v>1</c:v>
                </c:pt>
              </c:numCache>
            </c:numRef>
          </c:val>
          <c:extLst>
            <c:ext xmlns:c16="http://schemas.microsoft.com/office/drawing/2014/chart" uri="{C3380CC4-5D6E-409C-BE32-E72D297353CC}">
              <c16:uniqueId val="{00000010-11EC-43D8-B4BC-CAA756950EF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pieChart>
        <c:varyColors val="1"/>
        <c:ser>
          <c:idx val="0"/>
          <c:order val="0"/>
          <c:tx>
            <c:v>Devidend overview</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Overview!$A$2:$A$3</c:f>
              <c:strCache>
                <c:ptCount val="2"/>
                <c:pt idx="0">
                  <c:v>Telefonaktiebolaget LM Ericsson (XSTO:ERIC B)</c:v>
                </c:pt>
                <c:pt idx="1">
                  <c:v>H &amp; M Hennes &amp; Mauritz AB (XSTO:HM B)</c:v>
                </c:pt>
              </c:strCache>
            </c:strRef>
          </c:cat>
          <c:val>
            <c:numRef>
              <c:f>Overview!$O$2:$O$3</c:f>
              <c:numCache>
                <c:formatCode>General</c:formatCode>
                <c:ptCount val="2"/>
                <c:pt idx="0">
                  <c:v>1500</c:v>
                </c:pt>
                <c:pt idx="1">
                  <c:v>9.6999999999999993</c:v>
                </c:pt>
              </c:numCache>
            </c:numRef>
          </c:val>
          <c:extLst>
            <c:ext xmlns:c16="http://schemas.microsoft.com/office/drawing/2014/chart" uri="{C3380CC4-5D6E-409C-BE32-E72D297353CC}">
              <c16:uniqueId val="{00000010-00AE-43E9-9E18-557BBE1B03B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114300</xdr:colOff>
      <xdr:row>22</xdr:row>
      <xdr:rowOff>95250</xdr:rowOff>
    </xdr:from>
    <xdr:to>
      <xdr:col>9</xdr:col>
      <xdr:colOff>142875</xdr:colOff>
      <xdr:row>36</xdr:row>
      <xdr:rowOff>171450</xdr:rowOff>
    </xdr:to>
    <xdr:graphicFrame macro="">
      <xdr:nvGraphicFramePr>
        <xdr:cNvPr id="4" name="Diagram 3">
          <a:extLst>
            <a:ext uri="{FF2B5EF4-FFF2-40B4-BE49-F238E27FC236}">
              <a16:creationId xmlns:a16="http://schemas.microsoft.com/office/drawing/2014/main" id="{60AD86E1-622F-4185-837D-1F604491D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247650</xdr:colOff>
      <xdr:row>22</xdr:row>
      <xdr:rowOff>28575</xdr:rowOff>
    </xdr:from>
    <xdr:to>
      <xdr:col>14</xdr:col>
      <xdr:colOff>1295400</xdr:colOff>
      <xdr:row>36</xdr:row>
      <xdr:rowOff>104775</xdr:rowOff>
    </xdr:to>
    <xdr:graphicFrame macro="">
      <xdr:nvGraphicFramePr>
        <xdr:cNvPr id="6" name="Diagram 5">
          <a:extLst>
            <a:ext uri="{FF2B5EF4-FFF2-40B4-BE49-F238E27FC236}">
              <a16:creationId xmlns:a16="http://schemas.microsoft.com/office/drawing/2014/main" id="{33E6B036-C20C-4CD1-8BE4-078BBF17F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tocks/Aktie_Utdeln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Python"/>
      <sheetName val="Python2"/>
    </sheetNames>
    <sheetDataSet>
      <sheetData sheetId="0">
        <row r="2">
          <cell r="A2" t="e">
            <v>#VALUE!</v>
          </cell>
          <cell r="O2">
            <v>42</v>
          </cell>
        </row>
        <row r="3">
          <cell r="A3" t="e">
            <v>#VALUE!</v>
          </cell>
          <cell r="O3">
            <v>164.89999999999998</v>
          </cell>
        </row>
        <row r="4">
          <cell r="A4" t="e">
            <v>#VALUE!</v>
          </cell>
          <cell r="O4">
            <v>36</v>
          </cell>
        </row>
        <row r="5">
          <cell r="A5" t="e">
            <v>#VALUE!</v>
          </cell>
          <cell r="O5">
            <v>0</v>
          </cell>
        </row>
        <row r="6">
          <cell r="A6" t="e">
            <v>#VALUE!</v>
          </cell>
          <cell r="O6">
            <v>72</v>
          </cell>
        </row>
        <row r="7">
          <cell r="A7" t="e">
            <v>#VALUE!</v>
          </cell>
          <cell r="O7">
            <v>0</v>
          </cell>
        </row>
        <row r="8">
          <cell r="A8" t="e">
            <v>#VALUE!</v>
          </cell>
          <cell r="O8">
            <v>0</v>
          </cell>
        </row>
        <row r="9">
          <cell r="A9" t="e">
            <v>#VALUE!</v>
          </cell>
          <cell r="O9">
            <v>0</v>
          </cell>
        </row>
        <row r="10">
          <cell r="A10" t="e">
            <v>#VALUE!</v>
          </cell>
          <cell r="O10">
            <v>0</v>
          </cell>
        </row>
        <row r="11">
          <cell r="A11" t="e">
            <v>#VALUE!</v>
          </cell>
          <cell r="O11">
            <v>0</v>
          </cell>
        </row>
        <row r="12">
          <cell r="A12" t="e">
            <v>#VALUE!</v>
          </cell>
          <cell r="O12">
            <v>77</v>
          </cell>
        </row>
        <row r="13">
          <cell r="A13" t="e">
            <v>#VALUE!</v>
          </cell>
          <cell r="O13">
            <v>0</v>
          </cell>
        </row>
        <row r="14">
          <cell r="A14" t="e">
            <v>#VALUE!</v>
          </cell>
          <cell r="O14">
            <v>0</v>
          </cell>
        </row>
        <row r="15">
          <cell r="A15" t="e">
            <v>#VALUE!</v>
          </cell>
          <cell r="O15">
            <v>0</v>
          </cell>
        </row>
        <row r="16">
          <cell r="A16" t="e">
            <v>#VALUE!</v>
          </cell>
          <cell r="O16">
            <v>0</v>
          </cell>
        </row>
        <row r="17">
          <cell r="A17" t="e">
            <v>#VALUE!</v>
          </cell>
          <cell r="O17">
            <v>68</v>
          </cell>
        </row>
        <row r="18">
          <cell r="A18" t="e">
            <v>#VALUE!</v>
          </cell>
          <cell r="O18">
            <v>0</v>
          </cell>
        </row>
        <row r="19">
          <cell r="A19" t="e">
            <v>#VALUE!</v>
          </cell>
          <cell r="O19">
            <v>0</v>
          </cell>
        </row>
      </sheetData>
      <sheetData sheetId="1" refreshError="1"/>
      <sheetData sheetId="2" refreshError="1"/>
    </sheetDataSet>
  </externalBook>
</externalLink>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Flags>
    </type>
  </types>
</rvTypesInfo>
</file>

<file path=xl/richData/rdrichvalue.xml><?xml version="1.0" encoding="utf-8"?>
<rvData xmlns="http://schemas.microsoft.com/office/spreadsheetml/2017/richdata" count="13">
  <rv s="0">
    <v>http://en.wikipedia.org/wiki/Public_domain</v>
    <v>Public domain</v>
  </rv>
  <rv s="0">
    <v>http://en.wikipedia.org/wiki/Ericsson</v>
    <v>Wikipedia</v>
  </rv>
  <rv s="1">
    <v>0</v>
    <v>1</v>
  </rv>
  <rv s="2">
    <v>6</v>
    <v>7</v>
    <v>https://www.bing.com/th?id=AMMS_a7bbcf0fee31ae26f887a64a8aa6bd95&amp;qlt=95</v>
    <v>2</v>
    <v>https://www.bing.com/images/search?form=xlimg&amp;q=ericsson</v>
    <v>Image of Telefonaktiebolaget LM Ericsson</v>
    <v/>
  </rv>
  <rv s="0">
    <v>https://www.bing.com/financeapi/forcetrigger?t=amwif2&amp;q=XSTO%3aERIC+B&amp;form=skydnc</v>
    <v>Learn more on Bing</v>
  </rv>
  <rv s="3">
    <v>en-US</v>
    <v>amwif2</v>
    <v>268435456</v>
    <v>268435457</v>
    <v>1</v>
    <v>Powered by Refinitiv</v>
    <v>0</v>
    <v>Telefonaktiebolaget LM Ericsson (XSTO:ERIC B)</v>
    <v>3</v>
    <v>4</v>
    <v>Finance</v>
    <v>5</v>
    <v>91.94</v>
    <v>59.64</v>
    <v>0.52629999999999999</v>
    <v>1.34</v>
    <v>0</v>
    <v>1.5498000000000001E-2</v>
    <v>0</v>
    <v>SEK</v>
    <v>Telefonaktiebolaget LM Ericsson (Ericsson) provides infrastructure, services and software to the telecommunication industry and other sectors. The Company's segments include Networks, IT &amp; Cloud and Media. The Networks segment consists of two business units: Network Products and Network Services. The overall focus is on evolving and managing access networks, including the development of hardware and software for radio access and transport networks. The IT &amp; Cloud business includes two business units: IT &amp; Cloud Products and IT &amp; Cloud Services. The focus in IT &amp; Cloud is to help telecom operators and selected enterprises through the digital transformations ahead. It develops and delivers software-based solutions for television and media and combines a product portfolio that spans the television value chain, with systems integration and managed services. The portfolio includes compression, content publishing through set-top box or pure over-the-top, content delivery and analytics.</v>
    <v>99095</v>
    <v>NASDAQ Stockholm</v>
    <v>XSTO</v>
    <v>XSTO</v>
    <v>Torshamnsgatan 21, STOCKHOLM, STOCKHOLM, 164 40 SE</v>
    <v>87.9</v>
    <v>3</v>
    <v>Communications &amp; Networking</v>
    <v>Stock</v>
    <v>44025.666666666664</v>
    <v>4</v>
    <v>86.22</v>
    <v>290139700000</v>
    <v>Telefonaktiebolaget LM Ericsson</v>
    <v>Telefonaktiebolaget LM Ericsson</v>
    <v>86.72</v>
    <v>139.99</v>
    <v>86.46</v>
    <v>87.8</v>
    <v>87.8</v>
    <v>3334152000</v>
    <v>ERIC B</v>
    <v>Telefonaktiebolaget LM Ericsson (XSTO:ERIC B)</v>
    <v>4786090</v>
  </rv>
  <rv s="4">
    <v>5</v>
  </rv>
  <rv s="0">
    <v>http://en.wikipedia.org/wiki/H&amp;M</v>
    <v>Wikipedia</v>
  </rv>
  <rv s="1">
    <v>0</v>
    <v>7</v>
  </rv>
  <rv s="2">
    <v>6</v>
    <v>7</v>
    <v>https://www.bing.com/th?id=AMMS_49aa44dce555e968f8570942e0a037aa&amp;qlt=95</v>
    <v>8</v>
    <v>https://www.bing.com/images/search?form=xlimg&amp;q=h%26m</v>
    <v>Image of H &amp; M Hennes &amp; Mauritz AB</v>
    <v/>
  </rv>
  <rv s="0">
    <v>https://www.bing.com/financeapi/forcetrigger?t=amwn2w&amp;q=XSTO%3aHM+B&amp;form=skydnc</v>
    <v>Learn more on Bing</v>
  </rv>
  <rv s="3">
    <v>en-US</v>
    <v>amwn2w</v>
    <v>268435456</v>
    <v>268435457</v>
    <v>1</v>
    <v>Powered by Refinitiv</v>
    <v>0</v>
    <v>H &amp; M Hennes &amp; Mauritz AB (XSTO:HM B)</v>
    <v>3</v>
    <v>4</v>
    <v>Finance</v>
    <v>5</v>
    <v>214.25</v>
    <v>98.2</v>
    <v>1.2914000000000001</v>
    <v>2.35</v>
    <v>0</v>
    <v>1.7072E-2</v>
    <v>0</v>
    <v>SEK</v>
    <v>H &amp; M Hennes &amp; Mauritz AB is a Sweden-based company active in the clothing industry. It operates under such brand names, as H&amp;M, H&amp;M Home, COS, Monki, Weekday, Cheap Monday and &amp; Other Stories. It is engaged in the design, manufacture and marketing of clothing items and related accessories. The Company’s product range comprises clothing, including underwear and sportswear, for men, women, children and teenagers, as well as cosmetic products, accessories, footwear and home textiles. The Company offers its products in a number of branded stores spread across over 40 markets. Additionally, the Company offers online and catalogue sales in Sweden, Norway, Denmark, Finland, the Netherlands, Germany, Austria and the United Kingdom, among others.</v>
    <v>179000</v>
    <v>NASDAQ Stockholm</v>
    <v>XSTO</v>
    <v>XSTO</v>
    <v>Maester Samuelsgatan 46A, STOCKHOLM, STOCKHOLM, 111 57 SE</v>
    <v>140</v>
    <v>9</v>
    <v>Specialty Retailers</v>
    <v>Stock</v>
    <v>44025.666666666664</v>
    <v>10</v>
    <v>137.15</v>
    <v>201061500000</v>
    <v>H &amp; M Hennes &amp; Mauritz AB</v>
    <v>H &amp; M Hennes &amp; Mauritz AB</v>
    <v>138.55000000000001</v>
    <v>45.66</v>
    <v>137.65</v>
    <v>140</v>
    <v>140</v>
    <v>1460672000</v>
    <v>HM B</v>
    <v>H &amp; M Hennes &amp; Mauritz AB (XSTO:HM B)</v>
    <v>4338200</v>
  </rv>
  <rv s="4">
    <v>11</v>
  </rv>
</rvData>
</file>

<file path=xl/richData/rdrichvaluestructure.xml><?xml version="1.0" encoding="utf-8"?>
<rvStructures xmlns="http://schemas.microsoft.com/office/spreadsheetml/2017/richdata" count="5">
  <s t="_hyperlink">
    <k n="Address" t="s"/>
    <k n="Text" t="s"/>
  </s>
  <s t="_sourceattribution">
    <k n="License" t="r"/>
    <k n="Source" t="r"/>
  </s>
  <s t="_imageurl">
    <k n="_Flags" t="spb"/>
    <k n="_Provider" t="spb"/>
    <k n="Address" t="s"/>
    <k n="Attribution" t="r"/>
    <k n="More Images Address" t="s"/>
    <k n="Text" t="s"/>
    <k n="Blip Identifier" t="s"/>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
    <k n="%cvi" t="r"/>
  </s>
</rvStructures>
</file>

<file path=xl/richData/rdsupportingpropertybag.xml><?xml version="1.0" encoding="utf-8"?>
<supportingPropertyBags xmlns="http://schemas.microsoft.com/office/spreadsheetml/2017/richdata2">
  <spbArrays count="1">
    <a count="45">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_Flags</v>
      <v t="s">UniqueName</v>
      <v t="s">_DisplayString</v>
      <v t="s">LearnMoreOnLink</v>
      <v t="s">Image</v>
      <v t="s">ExchangeID</v>
      <v t="s">%ProviderInfo</v>
      <v t="s">_Display</v>
    </a>
  </spbArrays>
  <spbData count="8">
    <spb s="0">
      <v>0</v>
    </spb>
    <spb s="1">
      <v>0</v>
      <v>0</v>
    </spb>
    <spb s="2">
      <v>0</v>
      <v>0</v>
      <v>0</v>
    </spb>
    <spb s="3">
      <v>1</v>
      <v>2</v>
      <v>2</v>
      <v>2</v>
    </spb>
    <spb s="4">
      <v>1</v>
      <v>2</v>
      <v>2</v>
      <v>1</v>
      <v>3</v>
      <v>1</v>
      <v>4</v>
      <v>1</v>
      <v>1</v>
      <v>5</v>
      <v>5</v>
      <v>6</v>
      <v>7</v>
      <v>1</v>
      <v>1</v>
      <v>1</v>
      <v>8</v>
      <v>9</v>
      <v>10</v>
      <v>10</v>
      <v>5</v>
      <v>1</v>
      <v>1</v>
      <v>6</v>
    </spb>
    <spb s="5">
      <v>at close</v>
      <v>from previous close</v>
      <v>from previous close</v>
      <v>Source: Nasdaq Nordic</v>
      <v>GMT</v>
      <v>Delayed 15 minutes</v>
      <v>from close</v>
      <v>from close</v>
    </spb>
    <spb s="6">
      <v>2</v>
    </spb>
    <spb s="7">
      <v>Powered by Refinitiv</v>
    </spb>
  </spbData>
</supportingPropertyBags>
</file>

<file path=xl/richData/rdsupportingpropertybagstructure.xml><?xml version="1.0" encoding="utf-8"?>
<spbStructures xmlns="http://schemas.microsoft.com/office/spreadsheetml/2017/richdata2" count="8">
  <s>
    <k n="^Order" t="spba"/>
  </s>
  <s>
    <k n="ShowInDotNotation" t="b"/>
    <k n="ShowInAutoComplete" t="b"/>
  </s>
  <s>
    <k n="ShowInCardView" t="b"/>
    <k n="ShowInDotNotation" t="b"/>
    <k n="ShowInAutoComplete" t="b"/>
  </s>
  <s>
    <k n="Image" t="spb"/>
    <k n="ExchangeID" t="spb"/>
    <k n="UniqueName" t="spb"/>
    <k n="%ProviderInfo" t="spb"/>
  </s>
  <s>
    <k n="Low" t="i"/>
    <k n="P/E" t="i"/>
    <k n="Beta" t="i"/>
    <k n="High" t="i"/>
    <k n="Name" t="i"/>
    <k n="Open" t="i"/>
    <k n="Image" t="i"/>
    <k n="Price" t="i"/>
    <k n="Change" t="i"/>
    <k n="Volume" t="i"/>
    <k n="Employees" t="i"/>
    <k n="Change (%)" t="i"/>
    <k n="Market cap" t="i"/>
    <k n="52 week low" t="i"/>
    <k n="52 week high" t="i"/>
    <k n="Previous close" t="i"/>
    <k n="_DisplayString" t="i"/>
    <k n="Last trade time" t="i"/>
    <k n="%EntityServiceId" t="i"/>
    <k n="%EntitySubDomain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ProviderInfo" t="spb"/>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164" formatCode="_-* #,##0.00\ [$kr-41D]_-;\-* #,##0.00\ [$kr-41D]_-;_-* &quot;-&quot;??\ [$kr-41D]_-;_-@_-"/>
    </x:dxf>
    <x:dxf>
      <x:numFmt numFmtId="4" formatCode="#,##0.00"/>
    </x:dxf>
    <x:dxf>
      <x:numFmt numFmtId="3" formatCode="#,##0"/>
    </x:dxf>
    <x:dxf>
      <x:numFmt numFmtId="14" formatCode="0.00%"/>
    </x:dxf>
    <x:dxf>
      <x:numFmt numFmtId="165" formatCode="_-* #,##0\ [$kr-41D]_-;\-* #,##0\ [$kr-41D]_-;_-* &quot;-&quot;\ [$kr-41D]_-;_-@_-"/>
    </x:dxf>
    <x:dxf>
      <x:numFmt numFmtId="27" formatCode="yyyy/mm/dd\ hh:mm"/>
    </x:dxf>
    <x:dxf>
      <x:numFmt numFmtId="2" formatCode="0.00"/>
    </x:dxf>
  </dxfs>
  <richProperties>
    <rPr n="IsTitleField" t="b"/>
    <rPr n="IsHeroField" t="b"/>
    <rPr n="ShouldShowInCell" t="b"/>
  </richProperties>
  <richStyles>
    <rSty dxfid="0"/>
    <rSty dxfid="1"/>
    <rSty>
      <rpv i="0">1</rpv>
    </rSty>
    <rSty>
      <rpv i="1">1</rpv>
    </rSty>
    <rSty dxfid="2"/>
    <rSty dxfid="3"/>
    <rSty dxfid="4"/>
    <rSty>
      <rpv i="2">1</rpv>
    </rSty>
    <rSty dxfid="5"/>
    <rSty dxfid="6"/>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752BBB-B173-4CC0-9F09-547BEDF2D3D8}" name="Tabell1" displayName="Tabell1" ref="A1:P20" totalsRowShown="0" headerRowDxfId="19" headerRowBorderDxfId="17" tableBorderDxfId="18" totalsRowBorderDxfId="16" headerRowCellStyle="Neutral" dataCellStyle="60 % - Dekorfärg3">
  <autoFilter ref="A1:P20" xr:uid="{12A8F980-6EA7-4DF9-BCDC-E895312D6D3C}"/>
  <tableColumns count="16">
    <tableColumn id="1" xr3:uid="{CAD8539A-96CC-4FCA-84F2-A98A73D4B2CE}" name="Stock name               Devidend per stock" dataDxfId="15" dataCellStyle="60 % - Dekorfärg3"/>
    <tableColumn id="2" xr3:uid="{344CEBA7-DEA2-4785-9EDF-586F4FD100D6}" name="Jan" dataDxfId="14" dataCellStyle="60 % - Dekorfärg3"/>
    <tableColumn id="3" xr3:uid="{7F9492E2-941F-4A9F-9FBC-E64AD05CFF8D}" name="Feb" dataDxfId="13" dataCellStyle="60 % - Dekorfärg3"/>
    <tableColumn id="4" xr3:uid="{673273BF-B1DE-4150-BF0F-E6A9B7BDFE12}" name="Mar" dataDxfId="12" dataCellStyle="60 % - Dekorfärg3"/>
    <tableColumn id="5" xr3:uid="{79BEB0ED-5824-45FF-A3EF-7A8100746BA3}" name="Apr" dataDxfId="11" dataCellStyle="60 % - Dekorfärg3"/>
    <tableColumn id="6" xr3:uid="{1E3B4F85-30E6-4103-A31B-AB354ED297B6}" name="Maj" dataDxfId="10" dataCellStyle="60 % - Dekorfärg3"/>
    <tableColumn id="7" xr3:uid="{4816D7EB-A20C-4589-8798-941B7B28D207}" name="Jun" dataDxfId="9" dataCellStyle="60 % - Dekorfärg3"/>
    <tableColumn id="8" xr3:uid="{F0E67DC6-D3A4-4277-9693-CD2A6006F880}" name="Jul" dataDxfId="8" dataCellStyle="60 % - Dekorfärg3"/>
    <tableColumn id="9" xr3:uid="{4D4874F2-642C-4922-9F6C-69DBA291270D}" name="Aug" dataDxfId="7" dataCellStyle="60 % - Dekorfärg3"/>
    <tableColumn id="10" xr3:uid="{1AFD11C9-D92A-49E7-9B28-B5E6FFD4F01E}" name="Sep" dataDxfId="6" dataCellStyle="60 % - Dekorfärg3"/>
    <tableColumn id="11" xr3:uid="{9B2D7CD2-810C-47C6-AFCE-364FA450A976}" name="Okt" dataDxfId="5" dataCellStyle="60 % - Dekorfärg3"/>
    <tableColumn id="12" xr3:uid="{891331F9-78AF-40CC-8B59-DAF593E35EB6}" name="Nov" dataDxfId="4" dataCellStyle="60 % - Dekorfärg3"/>
    <tableColumn id="13" xr3:uid="{EDDA472C-EA02-470C-A143-5E0AC776F0C5}" name="Dec" dataDxfId="3" dataCellStyle="60 % - Dekorfärg3"/>
    <tableColumn id="14" xr3:uid="{720C7644-EF5A-4652-BFE7-1C19AC86BD6E}" name="Amount of stocks" dataDxfId="2" dataCellStyle="60 % - Dekorfärg3"/>
    <tableColumn id="15" xr3:uid="{4118713E-29F1-4931-8386-FA8444103FD6}" name="Total yearly devidend per stock*" dataDxfId="1" dataCellStyle="60 % - Dekorfärg3">
      <calculatedColumnFormula>SUM(B2:M2)*N2</calculatedColumnFormula>
    </tableColumn>
    <tableColumn id="17" xr3:uid="{0AB7E1E0-A8CA-412E-B7EF-A05A168655DC}" name="Previous close" dataDxfId="0" dataCellStyle="60 % - Dekorfärg3">
      <calculatedColumnFormula array="1">_FV(Tabell1[[#This Row],[Stock name               Devidend per stock]],"Previous close",TRUE)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F345-9B0B-4854-A2D2-1AA2E7254B9C}">
  <dimension ref="A1:P21"/>
  <sheetViews>
    <sheetView tabSelected="1" zoomScale="80" zoomScaleNormal="80" workbookViewId="0">
      <selection activeCell="P38" sqref="P38"/>
    </sheetView>
  </sheetViews>
  <sheetFormatPr defaultRowHeight="15" x14ac:dyDescent="0.25"/>
  <cols>
    <col min="1" max="1" width="48.28515625" bestFit="1" customWidth="1"/>
    <col min="2" max="2" width="9" bestFit="1" customWidth="1"/>
    <col min="3" max="3" width="9.5703125" bestFit="1" customWidth="1"/>
    <col min="4" max="4" width="10.5703125" bestFit="1" customWidth="1"/>
    <col min="5" max="5" width="9.5703125" bestFit="1" customWidth="1"/>
    <col min="6" max="6" width="10.140625" bestFit="1" customWidth="1"/>
    <col min="9" max="9" width="10" bestFit="1" customWidth="1"/>
    <col min="10" max="10" width="9.7109375" bestFit="1" customWidth="1"/>
    <col min="11" max="11" width="9.5703125" bestFit="1" customWidth="1"/>
    <col min="12" max="12" width="10.42578125" bestFit="1" customWidth="1"/>
    <col min="13" max="13" width="9.85546875" bestFit="1" customWidth="1"/>
    <col min="14" max="14" width="32.5703125" bestFit="1" customWidth="1"/>
    <col min="15" max="15" width="57.5703125" bestFit="1" customWidth="1"/>
    <col min="16" max="16" width="27.42578125" bestFit="1" customWidth="1"/>
  </cols>
  <sheetData>
    <row r="1" spans="1:16" ht="31.5" x14ac:dyDescent="0.55000000000000004">
      <c r="A1" s="27" t="s">
        <v>16</v>
      </c>
      <c r="B1" s="1" t="s">
        <v>0</v>
      </c>
      <c r="C1" s="1" t="s">
        <v>1</v>
      </c>
      <c r="D1" s="1" t="s">
        <v>2</v>
      </c>
      <c r="E1" s="1" t="s">
        <v>3</v>
      </c>
      <c r="F1" s="1" t="s">
        <v>4</v>
      </c>
      <c r="G1" s="1" t="s">
        <v>5</v>
      </c>
      <c r="H1" s="1" t="s">
        <v>6</v>
      </c>
      <c r="I1" s="1" t="s">
        <v>7</v>
      </c>
      <c r="J1" s="1" t="s">
        <v>8</v>
      </c>
      <c r="K1" s="1" t="s">
        <v>9</v>
      </c>
      <c r="L1" s="1" t="s">
        <v>10</v>
      </c>
      <c r="M1" s="1" t="s">
        <v>11</v>
      </c>
      <c r="N1" s="1" t="s">
        <v>13</v>
      </c>
      <c r="O1" s="1" t="s">
        <v>15</v>
      </c>
      <c r="P1" s="1" t="s">
        <v>12</v>
      </c>
    </row>
    <row r="2" spans="1:16" x14ac:dyDescent="0.25">
      <c r="A2" s="2" t="e" vm="1">
        <v>#VALUE!</v>
      </c>
      <c r="B2" s="3"/>
      <c r="C2" s="3"/>
      <c r="D2" s="3"/>
      <c r="E2" s="3">
        <v>0.75</v>
      </c>
      <c r="F2" s="3"/>
      <c r="G2" s="3"/>
      <c r="H2" s="3"/>
      <c r="I2" s="3"/>
      <c r="J2" s="3"/>
      <c r="K2" s="3">
        <v>0.75</v>
      </c>
      <c r="L2" s="3"/>
      <c r="M2" s="3"/>
      <c r="N2" s="3">
        <v>1000</v>
      </c>
      <c r="O2" s="3">
        <f t="shared" ref="O2:O9" si="0">SUM(B2:M2)*N2</f>
        <v>1500</v>
      </c>
      <c r="P2" s="4" cm="1">
        <f t="array" ref="P2">_FV(Tabell1[[#This Row],[Stock name               Devidend per stock]],"Previous close",TRUE)</f>
        <v>86.46</v>
      </c>
    </row>
    <row r="3" spans="1:16" x14ac:dyDescent="0.25">
      <c r="A3" s="5" t="e" vm="2">
        <v>#VALUE!</v>
      </c>
      <c r="B3" s="6"/>
      <c r="C3" s="6"/>
      <c r="D3" s="6"/>
      <c r="E3" s="6"/>
      <c r="F3" s="6">
        <v>4.8499999999999996</v>
      </c>
      <c r="G3" s="6"/>
      <c r="H3" s="6"/>
      <c r="I3" s="6"/>
      <c r="J3" s="6"/>
      <c r="K3" s="6"/>
      <c r="L3" s="6">
        <v>4.8499999999999996</v>
      </c>
      <c r="M3" s="6"/>
      <c r="N3" s="6">
        <v>1</v>
      </c>
      <c r="O3" s="6">
        <f t="shared" si="0"/>
        <v>9.6999999999999993</v>
      </c>
      <c r="P3" s="7" cm="1">
        <f t="array" ref="P3">_FV(Tabell1[[#This Row],[Stock name               Devidend per stock]],"Previous close",TRUE)</f>
        <v>137.65</v>
      </c>
    </row>
    <row r="4" spans="1:16" x14ac:dyDescent="0.25">
      <c r="A4" s="2"/>
      <c r="B4" s="3"/>
      <c r="C4" s="3"/>
      <c r="D4" s="3"/>
      <c r="E4" s="3"/>
      <c r="F4" s="3"/>
      <c r="G4" s="3"/>
      <c r="H4" s="3"/>
      <c r="I4" s="3"/>
      <c r="J4" s="3"/>
      <c r="K4" s="3"/>
      <c r="L4" s="3"/>
      <c r="M4" s="3"/>
      <c r="N4" s="3"/>
      <c r="O4" s="3"/>
      <c r="P4" s="4"/>
    </row>
    <row r="5" spans="1:16" x14ac:dyDescent="0.25">
      <c r="A5" s="8"/>
      <c r="B5" s="9"/>
      <c r="C5" s="9"/>
      <c r="D5" s="9"/>
      <c r="E5" s="9"/>
      <c r="F5" s="9"/>
      <c r="G5" s="9"/>
      <c r="H5" s="9"/>
      <c r="I5" s="9"/>
      <c r="J5" s="9"/>
      <c r="K5" s="9"/>
      <c r="L5" s="9"/>
      <c r="M5" s="9"/>
      <c r="N5" s="9"/>
      <c r="O5" s="9"/>
      <c r="P5" s="10"/>
    </row>
    <row r="6" spans="1:16" x14ac:dyDescent="0.25">
      <c r="A6" s="2"/>
      <c r="B6" s="3"/>
      <c r="C6" s="3"/>
      <c r="D6" s="3"/>
      <c r="E6" s="3"/>
      <c r="F6" s="3"/>
      <c r="G6" s="3"/>
      <c r="H6" s="3"/>
      <c r="I6" s="3"/>
      <c r="J6" s="3"/>
      <c r="K6" s="3"/>
      <c r="L6" s="3"/>
      <c r="M6" s="3"/>
      <c r="N6" s="3"/>
      <c r="O6" s="3"/>
      <c r="P6" s="4"/>
    </row>
    <row r="7" spans="1:16" x14ac:dyDescent="0.25">
      <c r="A7" s="5"/>
      <c r="B7" s="6"/>
      <c r="C7" s="6"/>
      <c r="D7" s="6"/>
      <c r="E7" s="6"/>
      <c r="F7" s="6"/>
      <c r="G7" s="6"/>
      <c r="H7" s="6"/>
      <c r="I7" s="6"/>
      <c r="J7" s="6"/>
      <c r="K7" s="6"/>
      <c r="L7" s="6"/>
      <c r="M7" s="6"/>
      <c r="N7" s="6"/>
      <c r="O7" s="6"/>
      <c r="P7" s="7"/>
    </row>
    <row r="8" spans="1:16" x14ac:dyDescent="0.25">
      <c r="A8" s="2"/>
      <c r="B8" s="3"/>
      <c r="C8" s="3"/>
      <c r="D8" s="3"/>
      <c r="E8" s="3"/>
      <c r="F8" s="3"/>
      <c r="G8" s="3"/>
      <c r="H8" s="3"/>
      <c r="I8" s="3"/>
      <c r="J8" s="3"/>
      <c r="K8" s="3"/>
      <c r="L8" s="3"/>
      <c r="M8" s="3"/>
      <c r="N8" s="3"/>
      <c r="O8" s="3"/>
      <c r="P8" s="11"/>
    </row>
    <row r="9" spans="1:16" x14ac:dyDescent="0.25">
      <c r="A9" s="5"/>
      <c r="B9" s="6"/>
      <c r="C9" s="6"/>
      <c r="D9" s="6"/>
      <c r="E9" s="6"/>
      <c r="F9" s="6"/>
      <c r="G9" s="6"/>
      <c r="H9" s="6"/>
      <c r="I9" s="6"/>
      <c r="J9" s="6"/>
      <c r="K9" s="6"/>
      <c r="L9" s="6"/>
      <c r="M9" s="6"/>
      <c r="N9" s="6"/>
      <c r="O9" s="6"/>
      <c r="P9" s="12"/>
    </row>
    <row r="10" spans="1:16" x14ac:dyDescent="0.25">
      <c r="A10" s="2"/>
      <c r="B10" s="3"/>
      <c r="C10" s="3"/>
      <c r="D10" s="3"/>
      <c r="E10" s="3"/>
      <c r="F10" s="3"/>
      <c r="G10" s="3"/>
      <c r="H10" s="3"/>
      <c r="I10" s="3"/>
      <c r="J10" s="3"/>
      <c r="K10" s="3"/>
      <c r="L10" s="3"/>
      <c r="M10" s="3"/>
      <c r="N10" s="3"/>
      <c r="O10" s="3"/>
      <c r="P10" s="4"/>
    </row>
    <row r="11" spans="1:16" x14ac:dyDescent="0.25">
      <c r="A11" s="13"/>
      <c r="B11" s="14"/>
      <c r="C11" s="14"/>
      <c r="D11" s="14"/>
      <c r="E11" s="14"/>
      <c r="F11" s="14"/>
      <c r="G11" s="14"/>
      <c r="H11" s="14"/>
      <c r="I11" s="14"/>
      <c r="J11" s="14"/>
      <c r="K11" s="14"/>
      <c r="L11" s="14"/>
      <c r="M11" s="14"/>
      <c r="N11" s="14"/>
      <c r="O11" s="14"/>
      <c r="P11" s="15"/>
    </row>
    <row r="12" spans="1:16" x14ac:dyDescent="0.25">
      <c r="A12" s="16"/>
      <c r="B12" s="17"/>
      <c r="C12" s="17"/>
      <c r="D12" s="17"/>
      <c r="E12" s="17"/>
      <c r="F12" s="17"/>
      <c r="G12" s="17"/>
      <c r="H12" s="17"/>
      <c r="I12" s="17"/>
      <c r="J12" s="17"/>
      <c r="K12" s="17"/>
      <c r="L12" s="17"/>
      <c r="M12" s="17"/>
      <c r="N12" s="17"/>
      <c r="O12" s="17"/>
      <c r="P12" s="18"/>
    </row>
    <row r="13" spans="1:16" x14ac:dyDescent="0.25">
      <c r="A13" s="13"/>
      <c r="B13" s="14"/>
      <c r="C13" s="14"/>
      <c r="D13" s="14"/>
      <c r="E13" s="14"/>
      <c r="F13" s="14"/>
      <c r="G13" s="14"/>
      <c r="H13" s="14"/>
      <c r="I13" s="14"/>
      <c r="J13" s="14"/>
      <c r="K13" s="14"/>
      <c r="L13" s="14"/>
      <c r="M13" s="14"/>
      <c r="N13" s="14"/>
      <c r="O13" s="14"/>
      <c r="P13" s="15"/>
    </row>
    <row r="14" spans="1:16" x14ac:dyDescent="0.25">
      <c r="A14" s="16"/>
      <c r="B14" s="17"/>
      <c r="C14" s="17"/>
      <c r="D14" s="17"/>
      <c r="E14" s="17"/>
      <c r="F14" s="17"/>
      <c r="G14" s="17"/>
      <c r="H14" s="17"/>
      <c r="I14" s="17"/>
      <c r="J14" s="17"/>
      <c r="K14" s="17"/>
      <c r="L14" s="17"/>
      <c r="M14" s="17"/>
      <c r="N14" s="17"/>
      <c r="O14" s="17"/>
      <c r="P14" s="18"/>
    </row>
    <row r="15" spans="1:16" x14ac:dyDescent="0.25">
      <c r="A15" s="13"/>
      <c r="B15" s="14"/>
      <c r="C15" s="14"/>
      <c r="D15" s="14"/>
      <c r="E15" s="14"/>
      <c r="F15" s="14"/>
      <c r="G15" s="14"/>
      <c r="H15" s="14"/>
      <c r="I15" s="14"/>
      <c r="J15" s="14"/>
      <c r="K15" s="14"/>
      <c r="L15" s="14"/>
      <c r="M15" s="14"/>
      <c r="N15" s="14"/>
      <c r="O15" s="14"/>
      <c r="P15" s="15"/>
    </row>
    <row r="16" spans="1:16" x14ac:dyDescent="0.25">
      <c r="A16" s="19"/>
      <c r="B16" s="20"/>
      <c r="C16" s="20"/>
      <c r="D16" s="20"/>
      <c r="E16" s="20"/>
      <c r="F16" s="20"/>
      <c r="G16" s="20"/>
      <c r="H16" s="20"/>
      <c r="I16" s="20"/>
      <c r="J16" s="20"/>
      <c r="K16" s="20"/>
      <c r="L16" s="20"/>
      <c r="M16" s="20"/>
      <c r="N16" s="20"/>
      <c r="O16" s="20"/>
      <c r="P16" s="21"/>
    </row>
    <row r="17" spans="1:16" x14ac:dyDescent="0.25">
      <c r="A17" s="13"/>
      <c r="B17" s="14"/>
      <c r="C17" s="14"/>
      <c r="D17" s="14"/>
      <c r="E17" s="14"/>
      <c r="F17" s="14"/>
      <c r="G17" s="14"/>
      <c r="H17" s="14"/>
      <c r="I17" s="14"/>
      <c r="J17" s="14"/>
      <c r="K17" s="14"/>
      <c r="L17" s="14"/>
      <c r="M17" s="14"/>
      <c r="N17" s="14"/>
      <c r="O17" s="14"/>
      <c r="P17" s="15"/>
    </row>
    <row r="18" spans="1:16" x14ac:dyDescent="0.25">
      <c r="A18" s="16"/>
      <c r="B18" s="17"/>
      <c r="C18" s="17"/>
      <c r="D18" s="17"/>
      <c r="E18" s="17"/>
      <c r="F18" s="17"/>
      <c r="G18" s="17"/>
      <c r="H18" s="17"/>
      <c r="I18" s="17"/>
      <c r="J18" s="17"/>
      <c r="K18" s="17"/>
      <c r="L18" s="17"/>
      <c r="M18" s="17"/>
      <c r="N18" s="17"/>
      <c r="O18" s="17"/>
      <c r="P18" s="18"/>
    </row>
    <row r="19" spans="1:16" x14ac:dyDescent="0.25">
      <c r="A19" s="22"/>
      <c r="B19" s="14"/>
      <c r="C19" s="14"/>
      <c r="D19" s="14"/>
      <c r="E19" s="14"/>
      <c r="F19" s="14"/>
      <c r="G19" s="14"/>
      <c r="H19" s="14"/>
      <c r="I19" s="14"/>
      <c r="J19" s="14"/>
      <c r="K19" s="14"/>
      <c r="L19" s="14"/>
      <c r="M19" s="14"/>
      <c r="N19" s="14"/>
      <c r="O19" s="14"/>
      <c r="P19" s="23"/>
    </row>
    <row r="20" spans="1:16" x14ac:dyDescent="0.25">
      <c r="A20" s="24"/>
      <c r="B20" s="24"/>
      <c r="C20" s="24"/>
      <c r="D20" s="24"/>
      <c r="E20" s="24"/>
      <c r="F20" s="24"/>
      <c r="G20" s="24"/>
      <c r="H20" s="24"/>
      <c r="I20" s="24"/>
      <c r="J20" s="24"/>
      <c r="K20" s="24"/>
      <c r="L20" s="24"/>
      <c r="M20" s="24"/>
      <c r="N20" s="24"/>
      <c r="O20" s="24"/>
      <c r="P20" s="24"/>
    </row>
    <row r="21" spans="1:16" x14ac:dyDescent="0.25">
      <c r="A21" s="25" t="s">
        <v>14</v>
      </c>
      <c r="B21" s="26">
        <f>B2*N2+B3*N3+B4*N4+B17*N17+B6*N6+B12*N12+B8*N8+B9*N9+B16*N16+B5*N5+B11*N11+B10*N10+B7*N7+B13*N13+B14*N14+B15*N15+B18*N18+B19*N19</f>
        <v>0</v>
      </c>
      <c r="C21" s="25">
        <f>C2*N2+C3*N3+C4*N4+C17*N17+C6*N6+C12*N12+C8*N8+C9*N9+C16*N16+C5*N5+C11*N11+C10*N10+C7*N7+C13*N13+C14*N14+C15*N15+C18*N18+C19*N19</f>
        <v>0</v>
      </c>
      <c r="D21" s="25">
        <f>D2*N2+D3*N3+D4*N4+D17*N17+D6*N6+D12*N12+D8*N8+D9*N9+D16*N16+D5*N5+D11*N11+D10*N10+D7*N7+D13*N13+D14*N14+D15*N15+D18*N18+D19*N19</f>
        <v>0</v>
      </c>
      <c r="E21" s="25">
        <f>E2*N2+E3*N3+E4*N4+E17*N17+E6*N6+E12*N12+E8*N8+E9*N9+E16*N16+E5*N5+E11*N11+E10*N10+E7*N7+E13*N13+E14*N14+E15*N15+E18*N18+E19*N19</f>
        <v>750</v>
      </c>
      <c r="F21" s="25">
        <f>F2*N2+F3*N3+F4*N4+F17*N17+F6*N6+F12*N12+F8*N8+F9*N9+F16*N16+F5*N5+F11*N11+F10*N10+F7*N7+F13*N13+F14*N14+F15*N15+F18*N18+F19*N19</f>
        <v>4.8499999999999996</v>
      </c>
      <c r="G21" s="25">
        <f>G2*N2+G3*N3+G4*N4+G17*N17+G6*N6+G12*N12+G8*N8+G9*N9+G16*N16+G5*N5+G11*N11+G10*N10+G7*N7+G13*N13+G14*N14+G15*N15+G18*N18+G19*N19</f>
        <v>0</v>
      </c>
      <c r="H21" s="25">
        <f>H2*N2+H3*N3+H4*N4+H17*N17+H6*N6+H12*N12+H8*N8+H9*N9+H16*N16+H5*N5+H11*N11+H10*N10+H7*N7+H13*N13+H14*N14+H15*N15+H18*N18+H19*N19</f>
        <v>0</v>
      </c>
      <c r="I21" s="25">
        <f>I2*N2+I3*N3+I4*N4+I17*N17+I6*N6+I12*N12+I8*N8+I9*N9+I16*N16+I5*N5+I11*N11+I10*N10+I7*N7+I13*N13+I14*N14+I15*N15+I18*N18+I19*N19</f>
        <v>0</v>
      </c>
      <c r="J21" s="25">
        <f>J2*N2+J3*N3+J4*N4+J17*N17+J6*N6+J12*N12+J8*N8+J9*N9+J16*N16+J5*N5+J11*N11+J10*N10+J7*N7+J13*N13+J14*N14+J15*N15+J18*N18+J19*N19</f>
        <v>0</v>
      </c>
      <c r="K21" s="25">
        <f>K2*N2+K3*N3+K4*N4+K17*N17+K6*N6+K12*N12+K8*N8+K9*N9+K16*N16+K5*N5+K11*N11+K10*N10+K7*N7+K13*N13+K14*N14+K15*N15+K18*N18+K19*N19</f>
        <v>750</v>
      </c>
      <c r="L21" s="25">
        <f>L2*N2+L3*N3+L4*N4+L17*N17+L6*N6+L12*N12+L8*N8+L9*N9+L16*N16+L5*N5+L11*N11+L10*N10+L7*N7+L13*N13+L14*N14+L15*N15+L18*N18+L19*N19</f>
        <v>4.8499999999999996</v>
      </c>
      <c r="M21" s="25">
        <f>M2*N2+M3*N3+M4*N4+M17*N17+M6*N6+M12*N12+M8*N8+M9*N9+M16*N16+M5*N5+M11*N11+M10*N10+M7*N7+M13*N13+M14*N14+M15*N15+M18*N18+M19*N19</f>
        <v>0</v>
      </c>
      <c r="N21" s="25">
        <f>SUM(N2:N20)</f>
        <v>1001</v>
      </c>
      <c r="O21" s="25">
        <f>SUM(O2:O19)</f>
        <v>1509.7</v>
      </c>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772A-27A3-4C66-8D85-A13EF454DF43}">
  <dimension ref="A1:P10"/>
  <sheetViews>
    <sheetView workbookViewId="0">
      <selection activeCell="A3" sqref="A3"/>
    </sheetView>
  </sheetViews>
  <sheetFormatPr defaultRowHeight="15" x14ac:dyDescent="0.25"/>
  <cols>
    <col min="1" max="1" width="47.7109375" bestFit="1" customWidth="1"/>
    <col min="2" max="2" width="6.7109375" bestFit="1" customWidth="1"/>
    <col min="3" max="3" width="7.28515625" bestFit="1" customWidth="1"/>
    <col min="4" max="4" width="8.28515625" bestFit="1" customWidth="1"/>
    <col min="5" max="5" width="7.28515625" bestFit="1" customWidth="1"/>
    <col min="6" max="6" width="7.85546875" bestFit="1" customWidth="1"/>
    <col min="7" max="7" width="6.85546875" bestFit="1" customWidth="1"/>
    <col min="8" max="8" width="5.85546875" bestFit="1" customWidth="1"/>
    <col min="9" max="9" width="7.7109375" bestFit="1" customWidth="1"/>
    <col min="10" max="10" width="7.42578125" bestFit="1" customWidth="1"/>
    <col min="11" max="11" width="7.28515625" bestFit="1" customWidth="1"/>
    <col min="12" max="12" width="8.140625" bestFit="1" customWidth="1"/>
    <col min="13" max="13" width="7.5703125" bestFit="1" customWidth="1"/>
    <col min="14" max="14" width="30.28515625" bestFit="1" customWidth="1"/>
    <col min="15" max="15" width="55.28515625" bestFit="1" customWidth="1"/>
    <col min="16" max="16" width="25.140625" bestFit="1" customWidth="1"/>
  </cols>
  <sheetData>
    <row r="1" spans="1:16" ht="31.5" x14ac:dyDescent="0.55000000000000004">
      <c r="A1" s="28" t="s">
        <v>16</v>
      </c>
      <c r="B1" s="29" t="s">
        <v>0</v>
      </c>
      <c r="C1" s="29" t="s">
        <v>1</v>
      </c>
      <c r="D1" s="29" t="s">
        <v>2</v>
      </c>
      <c r="E1" s="29" t="s">
        <v>3</v>
      </c>
      <c r="F1" s="29" t="s">
        <v>4</v>
      </c>
      <c r="G1" s="29" t="s">
        <v>5</v>
      </c>
      <c r="H1" s="29" t="s">
        <v>6</v>
      </c>
      <c r="I1" s="29" t="s">
        <v>7</v>
      </c>
      <c r="J1" s="29" t="s">
        <v>8</v>
      </c>
      <c r="K1" s="29" t="s">
        <v>9</v>
      </c>
      <c r="L1" s="29" t="s">
        <v>10</v>
      </c>
      <c r="M1" s="29" t="s">
        <v>11</v>
      </c>
      <c r="N1" s="29" t="s">
        <v>13</v>
      </c>
      <c r="O1" s="29" t="s">
        <v>15</v>
      </c>
      <c r="P1" s="29" t="s">
        <v>12</v>
      </c>
    </row>
    <row r="2" spans="1:16" x14ac:dyDescent="0.25">
      <c r="A2" s="30" t="s">
        <v>17</v>
      </c>
      <c r="B2" s="31">
        <f>Overview!B2</f>
        <v>0</v>
      </c>
      <c r="C2" s="31">
        <f>Overview!C2</f>
        <v>0</v>
      </c>
      <c r="D2" s="31">
        <f>Overview!D2</f>
        <v>0</v>
      </c>
      <c r="E2" s="31">
        <f>Overview!E2</f>
        <v>0.75</v>
      </c>
      <c r="F2" s="31">
        <f>Overview!F2</f>
        <v>0</v>
      </c>
      <c r="G2" s="31">
        <f>Overview!G2</f>
        <v>0</v>
      </c>
      <c r="H2" s="31">
        <f>Overview!H2</f>
        <v>0</v>
      </c>
      <c r="I2" s="31">
        <f>Overview!I2</f>
        <v>0</v>
      </c>
      <c r="J2" s="31">
        <f>Overview!J2</f>
        <v>0</v>
      </c>
      <c r="K2" s="31">
        <f>Overview!K2</f>
        <v>0.75</v>
      </c>
      <c r="L2" s="31">
        <f>Overview!L2</f>
        <v>0</v>
      </c>
      <c r="M2" s="31">
        <f>Overview!M2</f>
        <v>0</v>
      </c>
      <c r="N2" s="31">
        <f>Overview!N2</f>
        <v>1000</v>
      </c>
      <c r="O2" s="31">
        <f>Overview!O2</f>
        <v>1500</v>
      </c>
      <c r="P2" s="4">
        <f>Overview!P2</f>
        <v>86.46</v>
      </c>
    </row>
    <row r="3" spans="1:16" x14ac:dyDescent="0.25">
      <c r="A3" s="33" t="s">
        <v>18</v>
      </c>
      <c r="B3" s="34">
        <f>Overview!B3</f>
        <v>0</v>
      </c>
      <c r="C3" s="34">
        <f>Overview!C3</f>
        <v>0</v>
      </c>
      <c r="D3" s="34">
        <f>Overview!D3</f>
        <v>0</v>
      </c>
      <c r="E3" s="34">
        <f>Overview!E3</f>
        <v>0</v>
      </c>
      <c r="F3" s="34">
        <f>Overview!F3</f>
        <v>4.8499999999999996</v>
      </c>
      <c r="G3" s="34">
        <f>Overview!G3</f>
        <v>0</v>
      </c>
      <c r="H3" s="34">
        <f>Overview!H3</f>
        <v>0</v>
      </c>
      <c r="I3" s="34">
        <f>Overview!I3</f>
        <v>0</v>
      </c>
      <c r="J3" s="34">
        <f>Overview!J3</f>
        <v>0</v>
      </c>
      <c r="K3" s="34">
        <f>Overview!K3</f>
        <v>0</v>
      </c>
      <c r="L3" s="34">
        <f>Overview!L3</f>
        <v>4.8499999999999996</v>
      </c>
      <c r="M3" s="34">
        <f>Overview!M3</f>
        <v>0</v>
      </c>
      <c r="N3" s="34">
        <f>Overview!N3</f>
        <v>1</v>
      </c>
      <c r="O3" s="34">
        <f>Overview!O3</f>
        <v>9.6999999999999993</v>
      </c>
      <c r="P3" s="7">
        <f>Overview!P3</f>
        <v>137.65</v>
      </c>
    </row>
    <row r="4" spans="1:16" x14ac:dyDescent="0.25">
      <c r="A4" s="30"/>
      <c r="B4" s="31">
        <f>Overview!B4</f>
        <v>0</v>
      </c>
      <c r="C4" s="31">
        <f>Overview!C4</f>
        <v>0</v>
      </c>
      <c r="D4" s="31">
        <f>Overview!D4</f>
        <v>0</v>
      </c>
      <c r="E4" s="31">
        <f>Overview!E4</f>
        <v>0</v>
      </c>
      <c r="F4" s="31">
        <f>Overview!F4</f>
        <v>0</v>
      </c>
      <c r="G4" s="31">
        <f>Overview!G4</f>
        <v>0</v>
      </c>
      <c r="H4" s="31">
        <f>Overview!H4</f>
        <v>0</v>
      </c>
      <c r="I4" s="31">
        <f>Overview!I4</f>
        <v>0</v>
      </c>
      <c r="J4" s="31">
        <f>Overview!J4</f>
        <v>0</v>
      </c>
      <c r="K4" s="31">
        <f>Overview!K4</f>
        <v>0</v>
      </c>
      <c r="L4" s="31">
        <f>Overview!L4</f>
        <v>0</v>
      </c>
      <c r="M4" s="31">
        <f>Overview!M4</f>
        <v>0</v>
      </c>
      <c r="N4" s="31">
        <f>Overview!N4</f>
        <v>0</v>
      </c>
      <c r="O4" s="31">
        <f>Overview!O4</f>
        <v>0</v>
      </c>
      <c r="P4" s="32">
        <f>Overview!P4</f>
        <v>0</v>
      </c>
    </row>
    <row r="5" spans="1:16" x14ac:dyDescent="0.25">
      <c r="A5" s="36"/>
      <c r="B5" s="37">
        <f>Overview!B5</f>
        <v>0</v>
      </c>
      <c r="C5" s="37">
        <f>Overview!C5</f>
        <v>0</v>
      </c>
      <c r="D5" s="37">
        <f>Overview!D5</f>
        <v>0</v>
      </c>
      <c r="E5" s="37">
        <f>Overview!E5</f>
        <v>0</v>
      </c>
      <c r="F5" s="37">
        <f>Overview!F5</f>
        <v>0</v>
      </c>
      <c r="G5" s="37">
        <f>Overview!G5</f>
        <v>0</v>
      </c>
      <c r="H5" s="37">
        <f>Overview!H5</f>
        <v>0</v>
      </c>
      <c r="I5" s="37">
        <f>Overview!I5</f>
        <v>0</v>
      </c>
      <c r="J5" s="37">
        <f>Overview!J5</f>
        <v>0</v>
      </c>
      <c r="K5" s="37">
        <f>Overview!K5</f>
        <v>0</v>
      </c>
      <c r="L5" s="37">
        <f>Overview!L5</f>
        <v>0</v>
      </c>
      <c r="M5" s="37">
        <f>Overview!M5</f>
        <v>0</v>
      </c>
      <c r="N5" s="37">
        <f>Overview!N5</f>
        <v>0</v>
      </c>
      <c r="O5" s="37">
        <f>Overview!O5</f>
        <v>0</v>
      </c>
      <c r="P5" s="38">
        <f>Overview!P5</f>
        <v>0</v>
      </c>
    </row>
    <row r="6" spans="1:16" x14ac:dyDescent="0.25">
      <c r="A6" s="30"/>
      <c r="B6" s="31">
        <f>Overview!B6</f>
        <v>0</v>
      </c>
      <c r="C6" s="31">
        <f>Overview!C6</f>
        <v>0</v>
      </c>
      <c r="D6" s="31">
        <f>Overview!D6</f>
        <v>0</v>
      </c>
      <c r="E6" s="31">
        <f>Overview!E6</f>
        <v>0</v>
      </c>
      <c r="F6" s="31">
        <f>Overview!F6</f>
        <v>0</v>
      </c>
      <c r="G6" s="31">
        <f>Overview!G6</f>
        <v>0</v>
      </c>
      <c r="H6" s="31">
        <f>Overview!H6</f>
        <v>0</v>
      </c>
      <c r="I6" s="31">
        <f>Overview!I6</f>
        <v>0</v>
      </c>
      <c r="J6" s="31">
        <f>Overview!J6</f>
        <v>0</v>
      </c>
      <c r="K6" s="31">
        <f>Overview!K6</f>
        <v>0</v>
      </c>
      <c r="L6" s="31">
        <f>Overview!L6</f>
        <v>0</v>
      </c>
      <c r="M6" s="31">
        <f>Overview!M6</f>
        <v>0</v>
      </c>
      <c r="N6" s="31">
        <f>Overview!N6</f>
        <v>0</v>
      </c>
      <c r="O6" s="31">
        <f>Overview!O6</f>
        <v>0</v>
      </c>
      <c r="P6" s="32">
        <f>Overview!P6</f>
        <v>0</v>
      </c>
    </row>
    <row r="7" spans="1:16" x14ac:dyDescent="0.25">
      <c r="A7" s="33"/>
      <c r="B7" s="34">
        <f>Overview!B7</f>
        <v>0</v>
      </c>
      <c r="C7" s="34">
        <f>Overview!C7</f>
        <v>0</v>
      </c>
      <c r="D7" s="34">
        <f>Overview!D7</f>
        <v>0</v>
      </c>
      <c r="E7" s="34">
        <f>Overview!E7</f>
        <v>0</v>
      </c>
      <c r="F7" s="34">
        <f>Overview!F7</f>
        <v>0</v>
      </c>
      <c r="G7" s="34">
        <f>Overview!G7</f>
        <v>0</v>
      </c>
      <c r="H7" s="34">
        <f>Overview!H7</f>
        <v>0</v>
      </c>
      <c r="I7" s="34">
        <f>Overview!I7</f>
        <v>0</v>
      </c>
      <c r="J7" s="34">
        <f>Overview!J7</f>
        <v>0</v>
      </c>
      <c r="K7" s="34">
        <f>Overview!K7</f>
        <v>0</v>
      </c>
      <c r="L7" s="34">
        <f>Overview!L7</f>
        <v>0</v>
      </c>
      <c r="M7" s="34">
        <f>Overview!M7</f>
        <v>0</v>
      </c>
      <c r="N7" s="34">
        <f>Overview!N7</f>
        <v>0</v>
      </c>
      <c r="O7" s="34">
        <f>Overview!O7</f>
        <v>0</v>
      </c>
      <c r="P7" s="35">
        <f>Overview!P7</f>
        <v>0</v>
      </c>
    </row>
    <row r="8" spans="1:16" x14ac:dyDescent="0.25">
      <c r="A8" s="30"/>
      <c r="B8" s="31">
        <f>Overview!B8</f>
        <v>0</v>
      </c>
      <c r="C8" s="31">
        <f>Overview!C8</f>
        <v>0</v>
      </c>
      <c r="D8" s="31">
        <f>Overview!D8</f>
        <v>0</v>
      </c>
      <c r="E8" s="31">
        <f>Overview!E8</f>
        <v>0</v>
      </c>
      <c r="F8" s="31">
        <f>Overview!F8</f>
        <v>0</v>
      </c>
      <c r="G8" s="31">
        <f>Overview!G8</f>
        <v>0</v>
      </c>
      <c r="H8" s="31">
        <f>Overview!H8</f>
        <v>0</v>
      </c>
      <c r="I8" s="31">
        <f>Overview!I8</f>
        <v>0</v>
      </c>
      <c r="J8" s="31">
        <f>Overview!J8</f>
        <v>0</v>
      </c>
      <c r="K8" s="31">
        <f>Overview!K8</f>
        <v>0</v>
      </c>
      <c r="L8" s="31">
        <f>Overview!L8</f>
        <v>0</v>
      </c>
      <c r="M8" s="31">
        <f>Overview!M8</f>
        <v>0</v>
      </c>
      <c r="N8" s="31">
        <f>Overview!N8</f>
        <v>0</v>
      </c>
      <c r="O8" s="31">
        <f>Overview!O8</f>
        <v>0</v>
      </c>
      <c r="P8" s="39">
        <f>Overview!P8</f>
        <v>0</v>
      </c>
    </row>
    <row r="9" spans="1:16" x14ac:dyDescent="0.25">
      <c r="A9" s="33"/>
      <c r="B9" s="34">
        <f>Overview!B9</f>
        <v>0</v>
      </c>
      <c r="C9" s="34">
        <f>Overview!C9</f>
        <v>0</v>
      </c>
      <c r="D9" s="34">
        <f>Overview!D9</f>
        <v>0</v>
      </c>
      <c r="E9" s="34">
        <f>Overview!E9</f>
        <v>0</v>
      </c>
      <c r="F9" s="34">
        <f>Overview!F9</f>
        <v>0</v>
      </c>
      <c r="G9" s="34">
        <f>Overview!G9</f>
        <v>0</v>
      </c>
      <c r="H9" s="34">
        <f>Overview!H9</f>
        <v>0</v>
      </c>
      <c r="I9" s="34">
        <f>Overview!I9</f>
        <v>0</v>
      </c>
      <c r="J9" s="34">
        <f>Overview!J9</f>
        <v>0</v>
      </c>
      <c r="K9" s="34">
        <f>Overview!K9</f>
        <v>0</v>
      </c>
      <c r="L9" s="34">
        <f>Overview!L9</f>
        <v>0</v>
      </c>
      <c r="M9" s="34">
        <f>Overview!M9</f>
        <v>0</v>
      </c>
      <c r="N9" s="34">
        <f>Overview!N9</f>
        <v>0</v>
      </c>
      <c r="O9" s="34">
        <f>Overview!O9</f>
        <v>0</v>
      </c>
      <c r="P9" s="40">
        <f>Overview!P9</f>
        <v>0</v>
      </c>
    </row>
    <row r="10" spans="1:16" x14ac:dyDescent="0.25">
      <c r="A10" s="30">
        <f>Overview!A10</f>
        <v>0</v>
      </c>
      <c r="B10" s="31">
        <f>Overview!B10</f>
        <v>0</v>
      </c>
      <c r="C10" s="31">
        <f>Overview!C10</f>
        <v>0</v>
      </c>
      <c r="D10" s="31">
        <f>Overview!D10</f>
        <v>0</v>
      </c>
      <c r="E10" s="31">
        <f>Overview!E10</f>
        <v>0</v>
      </c>
      <c r="F10" s="31">
        <f>Overview!F10</f>
        <v>0</v>
      </c>
      <c r="G10" s="31">
        <f>Overview!G10</f>
        <v>0</v>
      </c>
      <c r="H10" s="31">
        <f>Overview!H10</f>
        <v>0</v>
      </c>
      <c r="I10" s="31">
        <f>Overview!I10</f>
        <v>0</v>
      </c>
      <c r="J10" s="31">
        <f>Overview!J10</f>
        <v>0</v>
      </c>
      <c r="K10" s="31">
        <f>Overview!K10</f>
        <v>0</v>
      </c>
      <c r="L10" s="31">
        <f>Overview!L10</f>
        <v>0</v>
      </c>
      <c r="M10" s="31">
        <f>Overview!M10</f>
        <v>0</v>
      </c>
      <c r="N10" s="31">
        <f>Overview!N10</f>
        <v>0</v>
      </c>
      <c r="O10" s="31">
        <f>Overview!O10</f>
        <v>0</v>
      </c>
      <c r="P10" s="32">
        <f>Overview!P10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Overview</vt:lpstr>
      <vt:lpstr>Python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Zacharias Hultman</dc:creator>
  <cp:lastModifiedBy>Zacharias Hultman</cp:lastModifiedBy>
  <dcterms:created xsi:type="dcterms:W3CDTF">2020-08-18T10:41:32Z</dcterms:created>
  <dcterms:modified xsi:type="dcterms:W3CDTF">2020-08-18T11:27:34Z</dcterms:modified>
</cp:coreProperties>
</file>