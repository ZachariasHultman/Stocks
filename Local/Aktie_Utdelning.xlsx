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codeName="ThisWorkbook" defaultThemeVersion="124226"/>
  <mc:AlternateContent xmlns:mc="http://schemas.openxmlformats.org/markup-compatibility/2006">
    <mc:Choice Requires="x15">
      <x15ac:absPath xmlns:x15ac="http://schemas.microsoft.com/office/spreadsheetml/2010/11/ac" url="D:\Stocks\"/>
    </mc:Choice>
  </mc:AlternateContent>
  <xr:revisionPtr revIDLastSave="0" documentId="13_ncr:1_{360069DB-676D-4203-8D77-73B569844DA3}" xr6:coauthVersionLast="45" xr6:coauthVersionMax="45" xr10:uidLastSave="{00000000-0000-0000-0000-000000000000}"/>
  <bookViews>
    <workbookView xWindow="-120" yWindow="-120" windowWidth="29040" windowHeight="15840" xr2:uid="{00000000-000D-0000-FFFF-FFFF00000000}"/>
  </bookViews>
  <sheets>
    <sheet name="Overview" sheetId="1" r:id="rId1"/>
    <sheet name="Python" sheetId="2" r:id="rId2"/>
    <sheet name="Python2"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7" i="2" l="1"/>
  <c r="C7" i="2"/>
  <c r="D7" i="2"/>
  <c r="E7" i="2"/>
  <c r="F7" i="2"/>
  <c r="G7" i="2"/>
  <c r="H7" i="2"/>
  <c r="I7" i="2"/>
  <c r="J7" i="2"/>
  <c r="K7" i="2"/>
  <c r="L7" i="2"/>
  <c r="M7" i="2"/>
  <c r="N7" i="2"/>
  <c r="N3" i="3"/>
  <c r="M3" i="3"/>
  <c r="L3" i="3"/>
  <c r="K3" i="3"/>
  <c r="J3" i="3"/>
  <c r="I3" i="3"/>
  <c r="H3" i="3"/>
  <c r="G3" i="3"/>
  <c r="F3" i="3"/>
  <c r="E3" i="3"/>
  <c r="D3" i="3"/>
  <c r="C3" i="3"/>
  <c r="B3" i="3"/>
  <c r="B10" i="2"/>
  <c r="C10" i="2"/>
  <c r="D10" i="2"/>
  <c r="E10" i="2"/>
  <c r="F10" i="2"/>
  <c r="G10" i="2"/>
  <c r="H10" i="2"/>
  <c r="I10" i="2"/>
  <c r="J10" i="2"/>
  <c r="K10" i="2"/>
  <c r="L10" i="2"/>
  <c r="M10" i="2"/>
  <c r="N10" i="2"/>
  <c r="N2" i="3"/>
  <c r="M2" i="3"/>
  <c r="L2" i="3"/>
  <c r="K2" i="3"/>
  <c r="J2" i="3"/>
  <c r="I2" i="3"/>
  <c r="H2" i="3"/>
  <c r="G2" i="3"/>
  <c r="F2" i="3"/>
  <c r="E2" i="3"/>
  <c r="D2" i="3"/>
  <c r="C2" i="3"/>
  <c r="B2" i="3"/>
  <c r="B4" i="3"/>
  <c r="C4" i="3"/>
  <c r="D4" i="3"/>
  <c r="E4" i="3"/>
  <c r="F4" i="3"/>
  <c r="G4" i="3"/>
  <c r="H4" i="3"/>
  <c r="I4" i="3"/>
  <c r="J4" i="3"/>
  <c r="K4" i="3"/>
  <c r="L4" i="3"/>
  <c r="M4" i="3"/>
  <c r="N4" i="3"/>
  <c r="B5" i="3"/>
  <c r="C5" i="3"/>
  <c r="D5" i="3"/>
  <c r="E5" i="3"/>
  <c r="F5" i="3"/>
  <c r="G5" i="3"/>
  <c r="H5" i="3"/>
  <c r="I5" i="3"/>
  <c r="J5" i="3"/>
  <c r="K5" i="3"/>
  <c r="L5" i="3"/>
  <c r="M5" i="3"/>
  <c r="N5" i="3"/>
  <c r="B6" i="3"/>
  <c r="C6" i="3"/>
  <c r="D6" i="3"/>
  <c r="E6" i="3"/>
  <c r="F6" i="3"/>
  <c r="G6" i="3"/>
  <c r="H6" i="3"/>
  <c r="I6" i="3"/>
  <c r="J6" i="3"/>
  <c r="K6" i="3"/>
  <c r="L6" i="3"/>
  <c r="M6" i="3"/>
  <c r="N6" i="3"/>
  <c r="B7" i="3"/>
  <c r="C7" i="3"/>
  <c r="D7" i="3"/>
  <c r="E7" i="3"/>
  <c r="F7" i="3"/>
  <c r="G7" i="3"/>
  <c r="H7" i="3"/>
  <c r="I7" i="3"/>
  <c r="J7" i="3"/>
  <c r="K7" i="3"/>
  <c r="L7" i="3"/>
  <c r="M7" i="3"/>
  <c r="N7" i="3"/>
  <c r="B8" i="3"/>
  <c r="C8" i="3"/>
  <c r="D8" i="3"/>
  <c r="E8" i="3"/>
  <c r="F8" i="3"/>
  <c r="G8" i="3"/>
  <c r="H8" i="3"/>
  <c r="I8" i="3"/>
  <c r="J8" i="3"/>
  <c r="K8" i="3"/>
  <c r="L8" i="3"/>
  <c r="M8" i="3"/>
  <c r="N8" i="3"/>
  <c r="B9" i="3"/>
  <c r="C9" i="3"/>
  <c r="D9" i="3"/>
  <c r="E9" i="3"/>
  <c r="F9" i="3"/>
  <c r="G9" i="3"/>
  <c r="H9" i="3"/>
  <c r="I9" i="3"/>
  <c r="J9" i="3"/>
  <c r="K9" i="3"/>
  <c r="L9" i="3"/>
  <c r="M9" i="3"/>
  <c r="N9" i="3"/>
  <c r="B10" i="3"/>
  <c r="C10" i="3"/>
  <c r="D10" i="3"/>
  <c r="E10" i="3"/>
  <c r="F10" i="3"/>
  <c r="G10" i="3"/>
  <c r="H10" i="3"/>
  <c r="I10" i="3"/>
  <c r="J10" i="3"/>
  <c r="K10" i="3"/>
  <c r="L10" i="3"/>
  <c r="M10" i="3"/>
  <c r="N10" i="3"/>
  <c r="B2" i="2"/>
  <c r="C2" i="2"/>
  <c r="D2" i="2"/>
  <c r="E2" i="2"/>
  <c r="F2" i="2"/>
  <c r="G2" i="2"/>
  <c r="H2" i="2"/>
  <c r="I2" i="2"/>
  <c r="J2" i="2"/>
  <c r="K2" i="2"/>
  <c r="L2" i="2"/>
  <c r="M2" i="2"/>
  <c r="N2" i="2"/>
  <c r="B3" i="2"/>
  <c r="C3" i="2"/>
  <c r="D3" i="2"/>
  <c r="E3" i="2"/>
  <c r="F3" i="2"/>
  <c r="G3" i="2"/>
  <c r="H3" i="2"/>
  <c r="I3" i="2"/>
  <c r="J3" i="2"/>
  <c r="K3" i="2"/>
  <c r="L3" i="2"/>
  <c r="M3" i="2"/>
  <c r="N3" i="2"/>
  <c r="B4" i="2"/>
  <c r="C4" i="2"/>
  <c r="D4" i="2"/>
  <c r="E4" i="2"/>
  <c r="F4" i="2"/>
  <c r="G4" i="2"/>
  <c r="H4" i="2"/>
  <c r="I4" i="2"/>
  <c r="J4" i="2"/>
  <c r="K4" i="2"/>
  <c r="L4" i="2"/>
  <c r="M4" i="2"/>
  <c r="N4" i="2"/>
  <c r="B5" i="2"/>
  <c r="C5" i="2"/>
  <c r="D5" i="2"/>
  <c r="E5" i="2"/>
  <c r="F5" i="2"/>
  <c r="G5" i="2"/>
  <c r="H5" i="2"/>
  <c r="I5" i="2"/>
  <c r="J5" i="2"/>
  <c r="K5" i="2"/>
  <c r="L5" i="2"/>
  <c r="M5" i="2"/>
  <c r="N5" i="2"/>
  <c r="B6" i="2"/>
  <c r="C6" i="2"/>
  <c r="D6" i="2"/>
  <c r="E6" i="2"/>
  <c r="F6" i="2"/>
  <c r="G6" i="2"/>
  <c r="H6" i="2"/>
  <c r="I6" i="2"/>
  <c r="J6" i="2"/>
  <c r="K6" i="2"/>
  <c r="L6" i="2"/>
  <c r="M6" i="2"/>
  <c r="N6" i="2"/>
  <c r="B8" i="2"/>
  <c r="C8" i="2"/>
  <c r="D8" i="2"/>
  <c r="E8" i="2"/>
  <c r="F8" i="2"/>
  <c r="G8" i="2"/>
  <c r="H8" i="2"/>
  <c r="I8" i="2"/>
  <c r="J8" i="2"/>
  <c r="K8" i="2"/>
  <c r="L8" i="2"/>
  <c r="M8" i="2"/>
  <c r="N8" i="2"/>
  <c r="B9" i="2"/>
  <c r="C9" i="2"/>
  <c r="D9" i="2"/>
  <c r="E9" i="2"/>
  <c r="F9" i="2"/>
  <c r="G9" i="2"/>
  <c r="H9" i="2"/>
  <c r="I9" i="2"/>
  <c r="J9" i="2"/>
  <c r="K9" i="2"/>
  <c r="L9" i="2"/>
  <c r="M9" i="2"/>
  <c r="N9" i="2"/>
  <c r="N21" i="1" l="1"/>
  <c r="B21" i="1"/>
  <c r="C21" i="1"/>
  <c r="F21" i="1"/>
  <c r="E21" i="1"/>
  <c r="D21" i="1"/>
  <c r="O2" i="1"/>
  <c r="O2" i="2" s="1"/>
  <c r="M21" i="1"/>
  <c r="L21" i="1"/>
  <c r="K21" i="1"/>
  <c r="J21" i="1"/>
  <c r="I21" i="1"/>
  <c r="H21" i="1"/>
  <c r="G21" i="1"/>
  <c r="P9" i="1" l="1" a="1"/>
  <c r="P9" i="1" s="1"/>
  <c r="P9" i="2" s="1"/>
  <c r="P8" i="1" a="1"/>
  <c r="P8" i="1" s="1"/>
  <c r="P8" i="2" s="1"/>
  <c r="P19" i="1" a="1"/>
  <c r="P19" i="1" s="1"/>
  <c r="P10" i="3" s="1"/>
  <c r="P3" i="1" a="1"/>
  <c r="P3" i="1" s="1"/>
  <c r="P3" i="2" s="1"/>
  <c r="P2" i="1" a="1"/>
  <c r="P2" i="1" s="1"/>
  <c r="P2" i="2" s="1"/>
  <c r="P17" i="1" a="1"/>
  <c r="P17" i="1" s="1"/>
  <c r="P8" i="3" s="1"/>
  <c r="P16" i="1" a="1"/>
  <c r="P16" i="1" s="1"/>
  <c r="P7" i="3" s="1"/>
  <c r="P4" i="1" a="1"/>
  <c r="P4" i="1" s="1"/>
  <c r="P4" i="2" s="1"/>
  <c r="P5" i="1" a="1"/>
  <c r="P5" i="1" s="1"/>
  <c r="P5" i="2" s="1"/>
  <c r="P6" i="1" a="1"/>
  <c r="P6" i="1" s="1"/>
  <c r="P6" i="2" s="1"/>
  <c r="P12" i="1" a="1"/>
  <c r="P12" i="1" s="1"/>
  <c r="P3" i="3" s="1"/>
  <c r="P11" i="1" a="1"/>
  <c r="P11" i="1" s="1"/>
  <c r="P2" i="3" s="1"/>
  <c r="P10" i="1" a="1"/>
  <c r="P10" i="1" s="1"/>
  <c r="P10" i="2" s="1"/>
  <c r="P7" i="1" a="1"/>
  <c r="P7" i="1" s="1"/>
  <c r="P7" i="2" s="1"/>
  <c r="P13" i="1" a="1"/>
  <c r="P13" i="1" s="1"/>
  <c r="P4" i="3" s="1"/>
  <c r="P14" i="1" a="1"/>
  <c r="P14" i="1" s="1"/>
  <c r="P5" i="3" s="1"/>
  <c r="P15" i="1" a="1"/>
  <c r="P15" i="1" s="1"/>
  <c r="P6" i="3" s="1"/>
  <c r="P18" i="1" a="1"/>
  <c r="P18" i="1" s="1"/>
  <c r="P9" i="3" s="1"/>
  <c r="O8" i="1"/>
  <c r="O8" i="2" s="1"/>
  <c r="O3" i="1"/>
  <c r="O3" i="2" s="1"/>
  <c r="O17" i="1"/>
  <c r="O8" i="3" s="1"/>
  <c r="O16" i="1"/>
  <c r="O7" i="3" s="1"/>
  <c r="O9" i="1"/>
  <c r="O9" i="2" s="1"/>
  <c r="O4" i="1"/>
  <c r="O4" i="2" s="1"/>
  <c r="O5" i="1"/>
  <c r="O5" i="2" s="1"/>
  <c r="O6" i="1"/>
  <c r="O6" i="2" s="1"/>
  <c r="O12" i="1"/>
  <c r="O3" i="3" s="1"/>
  <c r="O11" i="1"/>
  <c r="O2" i="3" s="1"/>
  <c r="O10" i="1"/>
  <c r="O10" i="2" s="1"/>
  <c r="O7" i="1"/>
  <c r="O7" i="2" s="1"/>
  <c r="O13" i="1"/>
  <c r="O4" i="3" s="1"/>
  <c r="O14" i="1"/>
  <c r="O5" i="3" s="1"/>
  <c r="O15" i="1"/>
  <c r="O6" i="3" s="1"/>
  <c r="O18" i="1"/>
  <c r="O9" i="3" s="1"/>
  <c r="O19" i="1"/>
  <c r="O10" i="3" s="1"/>
  <c r="O21"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6"/>
        </ext>
      </extLst>
    </bk>
    <bk>
      <extLst>
        <ext uri="{3e2802c4-a4d2-4d8b-9148-e3be6c30e623}">
          <xlrd:rvb i="12"/>
        </ext>
      </extLst>
    </bk>
    <bk>
      <extLst>
        <ext uri="{3e2802c4-a4d2-4d8b-9148-e3be6c30e623}">
          <xlrd:rvb i="18"/>
        </ext>
      </extLst>
    </bk>
    <bk>
      <extLst>
        <ext uri="{3e2802c4-a4d2-4d8b-9148-e3be6c30e623}">
          <xlrd:rvb i="21"/>
        </ext>
      </extLst>
    </bk>
    <bk>
      <extLst>
        <ext uri="{3e2802c4-a4d2-4d8b-9148-e3be6c30e623}">
          <xlrd:rvb i="28"/>
        </ext>
      </extLst>
    </bk>
    <bk>
      <extLst>
        <ext uri="{3e2802c4-a4d2-4d8b-9148-e3be6c30e623}">
          <xlrd:rvb i="34"/>
        </ext>
      </extLst>
    </bk>
    <bk>
      <extLst>
        <ext uri="{3e2802c4-a4d2-4d8b-9148-e3be6c30e623}">
          <xlrd:rvb i="37"/>
        </ext>
      </extLst>
    </bk>
    <bk>
      <extLst>
        <ext uri="{3e2802c4-a4d2-4d8b-9148-e3be6c30e623}">
          <xlrd:rvb i="43"/>
        </ext>
      </extLst>
    </bk>
    <bk>
      <extLst>
        <ext uri="{3e2802c4-a4d2-4d8b-9148-e3be6c30e623}">
          <xlrd:rvb i="46"/>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4"/>
        </ext>
      </extLst>
    </bk>
    <bk>
      <extLst>
        <ext uri="{3e2802c4-a4d2-4d8b-9148-e3be6c30e623}">
          <xlrd:rvb i="71"/>
        </ext>
      </extLst>
    </bk>
    <bk>
      <extLst>
        <ext uri="{3e2802c4-a4d2-4d8b-9148-e3be6c30e623}">
          <xlrd:rvb i="74"/>
        </ext>
      </extLst>
    </bk>
    <bk>
      <extLst>
        <ext uri="{3e2802c4-a4d2-4d8b-9148-e3be6c30e623}">
          <xlrd:rvb i="77"/>
        </ext>
      </extLst>
    </bk>
    <bk>
      <extLst>
        <ext uri="{3e2802c4-a4d2-4d8b-9148-e3be6c30e623}">
          <xlrd:rvb i="83"/>
        </ext>
      </extLst>
    </bk>
    <bk>
      <extLst>
        <ext uri="{3e2802c4-a4d2-4d8b-9148-e3be6c30e623}">
          <xlrd:rvb i="86"/>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<sst xmlns="http://schemas.openxmlformats.org/spreadsheetml/2006/main" count="67" uniqueCount="38">
  <si>
    <t>Feb</t>
  </si>
  <si>
    <t>Jan</t>
  </si>
  <si>
    <t>Mar</t>
  </si>
  <si>
    <t>Apr</t>
  </si>
  <si>
    <t>Maj</t>
  </si>
  <si>
    <t>Jun</t>
  </si>
  <si>
    <t>Jul</t>
  </si>
  <si>
    <t>Aug</t>
  </si>
  <si>
    <t>Sep</t>
  </si>
  <si>
    <t>Okt</t>
  </si>
  <si>
    <t>Nov</t>
  </si>
  <si>
    <t>Dec</t>
  </si>
  <si>
    <t>antal aktier</t>
  </si>
  <si>
    <t>Total utdelning</t>
  </si>
  <si>
    <t>Aktie</t>
  </si>
  <si>
    <t>Previous close</t>
  </si>
  <si>
    <t>OMEGA HEALTHCARE INVESTORS, INC. (XNYS:OHI)</t>
  </si>
  <si>
    <t>H &amp; M Hennes &amp; Mauritz AB (XSTO:HM B)</t>
  </si>
  <si>
    <t>Telefonaktiebolaget LM Ericsson (XSTO:ERIC B)</t>
  </si>
  <si>
    <t>Ratos AB (XSTO:RATO B)</t>
  </si>
  <si>
    <t>Investment AB Latour (XSTO:LATO B)</t>
  </si>
  <si>
    <t>AT&amp;T INC. (XNYS:T)</t>
  </si>
  <si>
    <t>Investor AB (XSTO:INVE B)</t>
  </si>
  <si>
    <t>AUTOLIV, INC. (XSTO:ALIV SDB)</t>
  </si>
  <si>
    <t>Kinnevik AB (XSTO:KINV B)</t>
  </si>
  <si>
    <t>Vastsvensk Logistik AB (publ) (XSTO:VASLOG)</t>
  </si>
  <si>
    <t>NCC AB (XSTO:NCC B)</t>
  </si>
  <si>
    <t>EQT AB (XSTO:EQT)</t>
  </si>
  <si>
    <t>Atlas Copco AB (XSTO:ATCO B)</t>
  </si>
  <si>
    <t>Castellum AB (XSTO:CAST)</t>
  </si>
  <si>
    <t>Axfood AB (XSTO:AXFO)</t>
  </si>
  <si>
    <t>Swedbank AB (XSTO:SWED A)</t>
  </si>
  <si>
    <t>ASTRAZENECA PLC (XSTO:AZN)</t>
  </si>
  <si>
    <t>Klovern AB (XSTO:KLOV B)</t>
  </si>
  <si>
    <r>
      <rPr>
        <vertAlign val="subscript"/>
        <sz val="20"/>
        <color rgb="FF9C5700"/>
        <rFont val="Calibri"/>
        <family val="2"/>
        <scheme val="minor"/>
      </rPr>
      <t>Stock name</t>
    </r>
    <r>
      <rPr>
        <sz val="20"/>
        <color rgb="FF9C5700"/>
        <rFont val="Calibri"/>
        <family val="2"/>
        <scheme val="minor"/>
      </rPr>
      <t xml:space="preserve">               </t>
    </r>
    <r>
      <rPr>
        <vertAlign val="superscript"/>
        <sz val="20"/>
        <color rgb="FF9C5700"/>
        <rFont val="Calibri"/>
        <family val="2"/>
        <scheme val="minor"/>
      </rPr>
      <t>Devidend per stock</t>
    </r>
  </si>
  <si>
    <t>Amount of stocks</t>
  </si>
  <si>
    <t>Total yearly devidend per stock*</t>
  </si>
  <si>
    <t>Total devidend each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</si>
</sst>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409]* #,##0.00_);_([$$-409]* \(#,##0.00\);_([$$-409]* &quot;-&quot;??_);_(@_)"/>
    <numFmt numFmtId="168" formatCode="_-* #,##0.00\ [$kr-41D]_-;\-* #,##0.00\ [$kr-41D]_-;_-* &quot;-&quot;??\ [$kr-41D]_-;_-@_-"/>
  </numFmts>
  <fonts count="8" x14ac:knownFonts="1">
    <font>
      <sz val="11"/>
      <color theme="1"/>
      <name val="Calibri"/>
      <family val="2"/>
      <scheme val="minor"/>
    </font>
    <font>
      <sz val="11"/>
      <color theme="1"/>
      <name val="Calibri"/>
      <family val="2"/>
      <scheme val="minor"/>
    </font>
    <font>
      <sz val="11"/>
      <color rgb="FF9C5700"/>
      <name val="Calibri"/>
      <family val="2"/>
      <scheme val="minor"/>
    </font>
    <font>
      <sz val="8"/>
      <name val="Calibri"/>
      <family val="2"/>
      <scheme val="minor"/>
    </font>
    <font>
      <sz val="20"/>
      <color rgb="FF9C5700"/>
      <name val="Calibri"/>
      <family val="2"/>
      <scheme val="minor"/>
    </font>
    <font>
      <b/>
      <sz val="20"/>
      <color rgb="FF9C5700"/>
      <name val="Calibri"/>
      <family val="2"/>
      <scheme val="minor"/>
    </font>
    <font>
      <vertAlign val="subscript"/>
      <sz val="20"/>
      <color rgb="FF9C5700"/>
      <name val="Calibri"/>
      <family val="2"/>
      <scheme val="minor"/>
    </font>
    <font>
      <vertAlign val="superscript"/>
      <sz val="20"/>
      <color rgb="FF9C5700"/>
      <name val="Calibri"/>
      <family val="2"/>
      <scheme val="minor"/>
    </font>
  </fonts>
  <fills count="9">
    <fill>
      <patternFill patternType="none"/>
    </fill>
    <fill>
      <patternFill patternType="gray125"/>
    </fill>
    <fill>
      <patternFill patternType="solid">
        <fgColor rgb="FFFFEB9C"/>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style="thin">
        <color auto="1"/>
      </right>
      <top style="thin">
        <color auto="1"/>
      </top>
      <bottom style="thin">
        <color rgb="FFFF0000"/>
      </bottom>
      <diagonal/>
    </border>
    <border>
      <left style="thin">
        <color auto="1"/>
      </left>
      <right style="thin">
        <color auto="1"/>
      </right>
      <top style="thin">
        <color auto="1"/>
      </top>
      <bottom style="thin">
        <color rgb="FFFF0000"/>
      </bottom>
      <diagonal/>
    </border>
    <border diagonalDown="1">
      <left/>
      <right style="thin">
        <color auto="1"/>
      </right>
      <top/>
      <bottom style="thin">
        <color auto="1"/>
      </bottom>
      <diagonal style="thin">
        <color auto="1"/>
      </diagonal>
    </border>
  </borders>
  <cellStyleXfs count="8">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cellStyleXfs>
  <cellXfs count="43">
    <xf numFmtId="0" fontId="0" fillId="0" borderId="0" xfId="0"/>
    <xf numFmtId="0" fontId="1" fillId="3" borderId="1" xfId="2" applyBorder="1"/>
    <xf numFmtId="0" fontId="1" fillId="4" borderId="1" xfId="3" applyBorder="1"/>
    <xf numFmtId="0" fontId="1" fillId="5" borderId="1" xfId="4" applyBorder="1"/>
    <xf numFmtId="0" fontId="1" fillId="4" borderId="2" xfId="3" applyBorder="1" applyAlignment="1">
      <alignment horizontal="left"/>
    </xf>
    <xf numFmtId="0" fontId="1" fillId="3" borderId="2" xfId="2" applyBorder="1" applyAlignment="1">
      <alignment horizontal="left"/>
    </xf>
    <xf numFmtId="0" fontId="4" fillId="2" borderId="4" xfId="1" applyFont="1" applyBorder="1"/>
    <xf numFmtId="165" fontId="1" fillId="4" borderId="1" xfId="3" applyNumberFormat="1" applyBorder="1"/>
    <xf numFmtId="168" fontId="1" fillId="4" borderId="1" xfId="3" applyNumberFormat="1" applyBorder="1"/>
    <xf numFmtId="0" fontId="5" fillId="2" borderId="1" xfId="1" applyFont="1" applyFill="1" applyBorder="1"/>
    <xf numFmtId="0" fontId="0" fillId="3" borderId="1" xfId="2" applyFont="1" applyFill="1" applyBorder="1"/>
    <xf numFmtId="0" fontId="0" fillId="4" borderId="1" xfId="3" applyFont="1" applyFill="1" applyBorder="1" applyAlignment="1">
      <alignment horizontal="left"/>
    </xf>
    <xf numFmtId="0" fontId="0" fillId="4" borderId="1" xfId="3" applyFont="1" applyFill="1" applyBorder="1"/>
    <xf numFmtId="0" fontId="0" fillId="3" borderId="1" xfId="2" applyFont="1" applyFill="1" applyBorder="1" applyAlignment="1">
      <alignment horizontal="left"/>
    </xf>
    <xf numFmtId="0" fontId="0" fillId="5" borderId="1" xfId="4" applyFont="1" applyBorder="1"/>
    <xf numFmtId="0" fontId="1" fillId="3" borderId="3" xfId="2" applyBorder="1" applyAlignment="1">
      <alignment horizontal="left"/>
    </xf>
    <xf numFmtId="0" fontId="1" fillId="3" borderId="4" xfId="2" applyBorder="1"/>
    <xf numFmtId="0" fontId="1" fillId="6" borderId="2" xfId="5" applyBorder="1" applyAlignment="1">
      <alignment horizontal="left"/>
    </xf>
    <xf numFmtId="0" fontId="1" fillId="6" borderId="1" xfId="5" applyBorder="1"/>
    <xf numFmtId="168" fontId="1" fillId="6" borderId="1" xfId="5" applyNumberFormat="1" applyBorder="1"/>
    <xf numFmtId="0" fontId="1" fillId="6" borderId="0" xfId="5"/>
    <xf numFmtId="0" fontId="1" fillId="7" borderId="2" xfId="6" applyBorder="1" applyAlignment="1">
      <alignment horizontal="left"/>
    </xf>
    <xf numFmtId="0" fontId="1" fillId="7" borderId="1" xfId="6" applyBorder="1"/>
    <xf numFmtId="168" fontId="1" fillId="7" borderId="1" xfId="6" applyNumberFormat="1" applyBorder="1"/>
    <xf numFmtId="0" fontId="1" fillId="7" borderId="0" xfId="6"/>
    <xf numFmtId="0" fontId="1" fillId="7" borderId="6" xfId="6" applyBorder="1" applyAlignment="1">
      <alignment horizontal="left"/>
    </xf>
    <xf numFmtId="0" fontId="1" fillId="7" borderId="7" xfId="6" applyBorder="1"/>
    <xf numFmtId="168" fontId="1" fillId="7" borderId="7" xfId="6" applyNumberFormat="1" applyBorder="1"/>
    <xf numFmtId="0" fontId="1" fillId="6" borderId="2" xfId="5" applyBorder="1" applyAlignment="1">
      <alignment horizontal="left" vertical="top"/>
    </xf>
    <xf numFmtId="168" fontId="1" fillId="6" borderId="4" xfId="5" applyNumberFormat="1" applyBorder="1"/>
    <xf numFmtId="0" fontId="0" fillId="6" borderId="1" xfId="5" applyFont="1" applyFill="1" applyBorder="1" applyAlignment="1">
      <alignment horizontal="left"/>
    </xf>
    <xf numFmtId="0" fontId="1" fillId="6" borderId="1" xfId="5" applyBorder="1" applyAlignment="1">
      <alignment horizontal="left"/>
    </xf>
    <xf numFmtId="0" fontId="1" fillId="6" borderId="1" xfId="5" applyBorder="1" applyAlignment="1">
      <alignment horizontal="left" vertical="top"/>
    </xf>
    <xf numFmtId="0" fontId="1" fillId="7" borderId="1" xfId="6" applyBorder="1" applyAlignment="1">
      <alignment horizontal="left"/>
    </xf>
    <xf numFmtId="165" fontId="1" fillId="7" borderId="1" xfId="6" applyNumberFormat="1" applyBorder="1"/>
    <xf numFmtId="0" fontId="1" fillId="7" borderId="7" xfId="6" applyBorder="1" applyAlignment="1">
      <alignment horizontal="left"/>
    </xf>
    <xf numFmtId="0" fontId="1" fillId="3" borderId="1" xfId="2" applyBorder="1" applyAlignment="1">
      <alignment horizontal="left"/>
    </xf>
    <xf numFmtId="0" fontId="1" fillId="4" borderId="1" xfId="3" applyBorder="1" applyAlignment="1">
      <alignment horizontal="left"/>
    </xf>
    <xf numFmtId="168" fontId="1" fillId="3" borderId="1" xfId="2" applyNumberFormat="1" applyBorder="1"/>
    <xf numFmtId="165" fontId="1" fillId="3" borderId="1" xfId="2" applyNumberFormat="1" applyBorder="1"/>
    <xf numFmtId="168" fontId="1" fillId="3" borderId="4" xfId="2" applyNumberFormat="1" applyBorder="1"/>
    <xf numFmtId="0" fontId="1" fillId="8" borderId="5" xfId="7" applyBorder="1"/>
    <xf numFmtId="0" fontId="4" fillId="2" borderId="8" xfId="1" applyFont="1" applyBorder="1"/>
  </cellXfs>
  <cellStyles count="8">
    <cellStyle name="20 % - Dekorfärg4" xfId="4" builtinId="42"/>
    <cellStyle name="20 % - Dekorfärg5" xfId="5" builtinId="46"/>
    <cellStyle name="20 % - Dekorfärg6" xfId="7" builtinId="50"/>
    <cellStyle name="40 % - Dekorfärg3" xfId="2" builtinId="39"/>
    <cellStyle name="40 % - Dekorfärg5" xfId="6" builtinId="47"/>
    <cellStyle name="60 % - Dekorfärg3" xfId="3" builtinId="40"/>
    <cellStyle name="Neutral" xfId="1" builtinId="28"/>
    <cellStyle name="Normal" xfId="0" builtinId="0"/>
  </cellStyles>
  <dxfs count="20">
    <dxf>
      <numFmt numFmtId="168" formatCode="_-* #,##0.00\ [$kr-41D]_-;\-* #,##0.00\ [$kr-41D]_-;_-* &quot;-&quot;??\ [$kr-41D]_-;_-@_-"/>
      <border diagonalUp="0" diagonalDown="0">
        <left style="thin">
          <color auto="1"/>
        </left>
        <right style="thin">
          <color auto="1"/>
        </right>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20"/>
        <color rgb="FF9C5700"/>
        <name val="Calibri"/>
        <family val="2"/>
        <scheme val="minor"/>
      </font>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sv-SE"/>
              <a:t>Utdelning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v-SE"/>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D9-4F1A-81C9-44595E30DB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D9-4F1A-81C9-44595E30DBB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D9-4F1A-81C9-44595E30DB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1D9-4F1A-81C9-44595E30DBB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1D9-4F1A-81C9-44595E30DBB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1D9-4F1A-81C9-44595E30DBB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1D9-4F1A-81C9-44595E30DBB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1D9-4F1A-81C9-44595E30DBB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1D9-4F1A-81C9-44595E30DBB3}"/>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1D9-4F1A-81C9-44595E30DBB3}"/>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1D9-4F1A-81C9-44595E30DBB3}"/>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1D9-4F1A-81C9-44595E30DBB3}"/>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1D9-4F1A-81C9-44595E30DBB3}"/>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1D9-4F1A-81C9-44595E30DBB3}"/>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1D9-4F1A-81C9-44595E30DBB3}"/>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1D9-4F1A-81C9-44595E30DBB3}"/>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1D9-4F1A-81C9-44595E30DBB3}"/>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1D9-4F1A-81C9-44595E30DBB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v-S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Overview!$A$2:$A$19</c:f>
              <c:strCache>
                <c:ptCount val="18"/>
                <c:pt idx="0">
                  <c:v>Telefonaktiebolaget LM Ericsson (XSTO:ERIC B)</c:v>
                </c:pt>
                <c:pt idx="1">
                  <c:v>H &amp; M Hennes &amp; Mauritz AB (XSTO:HM B)</c:v>
                </c:pt>
                <c:pt idx="2">
                  <c:v>Investor AB (XSTO:INVE B)</c:v>
                </c:pt>
                <c:pt idx="3">
                  <c:v>AUTOLIV, INC. (XSTO:ALIV SDB)</c:v>
                </c:pt>
                <c:pt idx="4">
                  <c:v>Kinnevik AB (XSTO:KINV B)</c:v>
                </c:pt>
                <c:pt idx="5">
                  <c:v>Atlas Copco AB (XSTO:ATCO B)</c:v>
                </c:pt>
                <c:pt idx="6">
                  <c:v>OMEGA HEALTHCARE INVESTORS, INC. (XNYS:OHI)</c:v>
                </c:pt>
                <c:pt idx="7">
                  <c:v>AT&amp;T INC. (XNYS:T)</c:v>
                </c:pt>
                <c:pt idx="8">
                  <c:v>EQT AB (XSTO:EQT)</c:v>
                </c:pt>
                <c:pt idx="9">
                  <c:v>NCC AB (XSTO:NCC B)</c:v>
                </c:pt>
                <c:pt idx="10">
                  <c:v>Vastsvensk Logistik AB (publ) (XSTO:VASLOG)</c:v>
                </c:pt>
                <c:pt idx="11">
                  <c:v>Castellum AB (XSTO:CAST)</c:v>
                </c:pt>
                <c:pt idx="12">
                  <c:v>Axfood AB (XSTO:AXFO)</c:v>
                </c:pt>
                <c:pt idx="13">
                  <c:v>Swedbank AB (XSTO:SWED A)</c:v>
                </c:pt>
                <c:pt idx="14">
                  <c:v>Investment AB Latour (XSTO:LATO B)</c:v>
                </c:pt>
                <c:pt idx="15">
                  <c:v>Ratos AB (XSTO:RATO B)</c:v>
                </c:pt>
                <c:pt idx="16">
                  <c:v>ASTRAZENECA PLC (XSTO:AZN)</c:v>
                </c:pt>
                <c:pt idx="17">
                  <c:v>Klovern AB (XSTO:KLOV B)</c:v>
                </c:pt>
              </c:strCache>
            </c:strRef>
          </c:cat>
          <c:val>
            <c:numRef>
              <c:f>Overview!$O$2:$O$19</c:f>
              <c:numCache>
                <c:formatCode>General</c:formatCode>
                <c:ptCount val="18"/>
                <c:pt idx="0">
                  <c:v>42</c:v>
                </c:pt>
                <c:pt idx="1">
                  <c:v>164.89999999999998</c:v>
                </c:pt>
                <c:pt idx="2">
                  <c:v>36</c:v>
                </c:pt>
                <c:pt idx="3">
                  <c:v>0</c:v>
                </c:pt>
                <c:pt idx="4">
                  <c:v>72</c:v>
                </c:pt>
                <c:pt idx="5">
                  <c:v>0</c:v>
                </c:pt>
                <c:pt idx="6">
                  <c:v>0</c:v>
                </c:pt>
                <c:pt idx="7">
                  <c:v>0</c:v>
                </c:pt>
                <c:pt idx="8">
                  <c:v>0</c:v>
                </c:pt>
                <c:pt idx="9">
                  <c:v>0</c:v>
                </c:pt>
                <c:pt idx="10">
                  <c:v>77</c:v>
                </c:pt>
                <c:pt idx="11">
                  <c:v>0</c:v>
                </c:pt>
                <c:pt idx="12">
                  <c:v>0</c:v>
                </c:pt>
                <c:pt idx="13">
                  <c:v>0</c:v>
                </c:pt>
                <c:pt idx="14">
                  <c:v>0</c:v>
                </c:pt>
                <c:pt idx="15">
                  <c:v>68</c:v>
                </c:pt>
                <c:pt idx="16">
                  <c:v>0</c:v>
                </c:pt>
                <c:pt idx="17">
                  <c:v>0</c:v>
                </c:pt>
              </c:numCache>
            </c:numRef>
          </c:val>
          <c:extLst>
            <c:ext xmlns:c16="http://schemas.microsoft.com/office/drawing/2014/chart" uri="{C3380CC4-5D6E-409C-BE32-E72D297353CC}">
              <c16:uniqueId val="{00000000-5B3A-42B6-8651-A1559ACDCFA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sv-SE"/>
              <a:t>Innehav</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v-SE"/>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1F-4A13-AA9F-C5566D9465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1F-4A13-AA9F-C5566D9465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1F-4A13-AA9F-C5566D94650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1F-4A13-AA9F-C5566D94650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E1F-4A13-AA9F-C5566D94650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E1F-4A13-AA9F-C5566D94650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E1F-4A13-AA9F-C5566D94650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E1F-4A13-AA9F-C5566D94650A}"/>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E1F-4A13-AA9F-C5566D94650A}"/>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E1F-4A13-AA9F-C5566D94650A}"/>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E1F-4A13-AA9F-C5566D94650A}"/>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E1F-4A13-AA9F-C5566D94650A}"/>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E1F-4A13-AA9F-C5566D94650A}"/>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E1F-4A13-AA9F-C5566D94650A}"/>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E1F-4A13-AA9F-C5566D94650A}"/>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E1F-4A13-AA9F-C5566D94650A}"/>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E1F-4A13-AA9F-C5566D94650A}"/>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E1F-4A13-AA9F-C5566D94650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v-SE"/>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Overview!$A$2:$A$19</c:f>
              <c:strCache>
                <c:ptCount val="18"/>
                <c:pt idx="0">
                  <c:v>Telefonaktiebolaget LM Ericsson (XSTO:ERIC B)</c:v>
                </c:pt>
                <c:pt idx="1">
                  <c:v>H &amp; M Hennes &amp; Mauritz AB (XSTO:HM B)</c:v>
                </c:pt>
                <c:pt idx="2">
                  <c:v>Investor AB (XSTO:INVE B)</c:v>
                </c:pt>
                <c:pt idx="3">
                  <c:v>AUTOLIV, INC. (XSTO:ALIV SDB)</c:v>
                </c:pt>
                <c:pt idx="4">
                  <c:v>Kinnevik AB (XSTO:KINV B)</c:v>
                </c:pt>
                <c:pt idx="5">
                  <c:v>Atlas Copco AB (XSTO:ATCO B)</c:v>
                </c:pt>
                <c:pt idx="6">
                  <c:v>OMEGA HEALTHCARE INVESTORS, INC. (XNYS:OHI)</c:v>
                </c:pt>
                <c:pt idx="7">
                  <c:v>AT&amp;T INC. (XNYS:T)</c:v>
                </c:pt>
                <c:pt idx="8">
                  <c:v>EQT AB (XSTO:EQT)</c:v>
                </c:pt>
                <c:pt idx="9">
                  <c:v>NCC AB (XSTO:NCC B)</c:v>
                </c:pt>
                <c:pt idx="10">
                  <c:v>Vastsvensk Logistik AB (publ) (XSTO:VASLOG)</c:v>
                </c:pt>
                <c:pt idx="11">
                  <c:v>Castellum AB (XSTO:CAST)</c:v>
                </c:pt>
                <c:pt idx="12">
                  <c:v>Axfood AB (XSTO:AXFO)</c:v>
                </c:pt>
                <c:pt idx="13">
                  <c:v>Swedbank AB (XSTO:SWED A)</c:v>
                </c:pt>
                <c:pt idx="14">
                  <c:v>Investment AB Latour (XSTO:LATO B)</c:v>
                </c:pt>
                <c:pt idx="15">
                  <c:v>Ratos AB (XSTO:RATO B)</c:v>
                </c:pt>
                <c:pt idx="16">
                  <c:v>ASTRAZENECA PLC (XSTO:AZN)</c:v>
                </c:pt>
                <c:pt idx="17">
                  <c:v>Klovern AB (XSTO:KLOV B)</c:v>
                </c:pt>
              </c:strCache>
            </c:strRef>
          </c:cat>
          <c:val>
            <c:numRef>
              <c:f>Overview!$N$2:$N$19</c:f>
              <c:numCache>
                <c:formatCode>General</c:formatCode>
                <c:ptCount val="18"/>
                <c:pt idx="0">
                  <c:v>28</c:v>
                </c:pt>
                <c:pt idx="1">
                  <c:v>17</c:v>
                </c:pt>
                <c:pt idx="2">
                  <c:v>3</c:v>
                </c:pt>
                <c:pt idx="3">
                  <c:v>0</c:v>
                </c:pt>
                <c:pt idx="4">
                  <c:v>9</c:v>
                </c:pt>
                <c:pt idx="5">
                  <c:v>0</c:v>
                </c:pt>
                <c:pt idx="6">
                  <c:v>0</c:v>
                </c:pt>
                <c:pt idx="7">
                  <c:v>0</c:v>
                </c:pt>
                <c:pt idx="8">
                  <c:v>0</c:v>
                </c:pt>
                <c:pt idx="9">
                  <c:v>0</c:v>
                </c:pt>
                <c:pt idx="10">
                  <c:v>11</c:v>
                </c:pt>
                <c:pt idx="11">
                  <c:v>0</c:v>
                </c:pt>
                <c:pt idx="12">
                  <c:v>0</c:v>
                </c:pt>
                <c:pt idx="13">
                  <c:v>0</c:v>
                </c:pt>
                <c:pt idx="14">
                  <c:v>0</c:v>
                </c:pt>
                <c:pt idx="15">
                  <c:v>34</c:v>
                </c:pt>
                <c:pt idx="16">
                  <c:v>0</c:v>
                </c:pt>
                <c:pt idx="17">
                  <c:v>0</c:v>
                </c:pt>
              </c:numCache>
            </c:numRef>
          </c:val>
          <c:extLst>
            <c:ext xmlns:c16="http://schemas.microsoft.com/office/drawing/2014/chart" uri="{C3380CC4-5D6E-409C-BE32-E72D297353CC}">
              <c16:uniqueId val="{00000000-75F5-40D9-8FDE-D4CD731635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183696</xdr:colOff>
      <xdr:row>22</xdr:row>
      <xdr:rowOff>6802</xdr:rowOff>
    </xdr:from>
    <xdr:to>
      <xdr:col>11</xdr:col>
      <xdr:colOff>141514</xdr:colOff>
      <xdr:row>43</xdr:row>
      <xdr:rowOff>149677</xdr:rowOff>
    </xdr:to>
    <xdr:graphicFrame macro="">
      <xdr:nvGraphicFramePr>
        <xdr:cNvPr id="4" name="Diagram 3">
          <a:extLst>
            <a:ext uri="{FF2B5EF4-FFF2-40B4-BE49-F238E27FC236}">
              <a16:creationId xmlns:a16="http://schemas.microsoft.com/office/drawing/2014/main" id="{CED28500-37B1-454B-9436-D3A5C01D2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415016</xdr:colOff>
      <xdr:row>21</xdr:row>
      <xdr:rowOff>186417</xdr:rowOff>
    </xdr:from>
    <xdr:to>
      <xdr:col>20</xdr:col>
      <xdr:colOff>394607</xdr:colOff>
      <xdr:row>43</xdr:row>
      <xdr:rowOff>176893</xdr:rowOff>
    </xdr:to>
    <xdr:graphicFrame macro="">
      <xdr:nvGraphicFramePr>
        <xdr:cNvPr id="5" name="Diagram 4">
          <a:extLst>
            <a:ext uri="{FF2B5EF4-FFF2-40B4-BE49-F238E27FC236}">
              <a16:creationId xmlns:a16="http://schemas.microsoft.com/office/drawing/2014/main" id="{9F72B9A7-3AD7-4F02-8AAF-9C579DFC9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Flags>
    </type>
  </types>
</rvTypesInfo>
</file>

<file path=xl/richData/rdrichvalue.xml><?xml version="1.0" encoding="utf-8"?>
<rvData xmlns="http://schemas.microsoft.com/office/spreadsheetml/2017/richdata" count="87">
  <rv s="0">
    <v>http://en.wikipedia.org/wiki/Public_domain</v>
    <v>Public domain</v>
  </rv>
  <rv s="0">
    <v>http://en.wikipedia.org/wiki/Ericsson</v>
    <v>Wikipedia</v>
  </rv>
  <rv s="1">
    <v>0</v>
    <v>1</v>
  </rv>
  <rv s="2">
    <v>6</v>
    <v>7</v>
    <v>https://www.bing.com/th?id=AMMS_a7bbcf0fee31ae26f887a64a8aa6bd95&amp;qlt=95</v>
    <v>2</v>
    <v>https://www.bing.com/images/search?form=xlimg&amp;q=ericsson</v>
    <v>Image of Telefonaktiebolaget LM Ericsson</v>
    <v/>
  </rv>
  <rv s="0">
    <v>https://www.bing.com/financeapi/forcetrigger?t=amwif2&amp;q=XSTO%3aERIC+B&amp;form=skydnc</v>
    <v>Learn more on Bing</v>
  </rv>
  <rv s="3">
    <v>en-US</v>
    <v>amwif2</v>
    <v>268435456</v>
    <v>268435457</v>
    <v>1</v>
    <v>Powered by Refinitiv</v>
    <v>0</v>
    <v>Telefonaktiebolaget LM Ericsson (XSTO:ERIC B)</v>
    <v>3</v>
    <v>4</v>
    <v>Finance</v>
    <v>5</v>
    <v>91.94</v>
    <v>59.64</v>
    <v>0.52629999999999999</v>
    <v>1.34</v>
    <v>0</v>
    <v>1.5498000000000001E-2</v>
    <v>0</v>
    <v>SEK</v>
    <v>Telefonaktiebolaget LM Ericsson (Ericsson) provides infrastructure, services and software to the telecommunication industry and other sectors. The Company's segments include Networks, IT &amp; Cloud and Media. The Networks segment consists of two business units: Network Products and Network Services. The overall focus is on evolving and managing access networks, including the development of hardware and software for radio access and transport networks. The IT &amp; Cloud business includes two business units: IT &amp; Cloud Products and IT &amp; Cloud Services. The focus in IT &amp; Cloud is to help telecom operators and selected enterprises through the digital transformations ahead. It develops and delivers software-based solutions for television and media and combines a product portfolio that spans the television value chain, with systems integration and managed services. The portfolio includes compression, content publishing through set-top box or pure over-the-top, content delivery and analytics.</v>
    <v>99095</v>
    <v>NASDAQ Stockholm</v>
    <v>XSTO</v>
    <v>XSTO</v>
    <v>Torshamnsgatan 21, STOCKHOLM, STOCKHOLM, 164 40 SE</v>
    <v>87.9</v>
    <v>3</v>
    <v>Communications &amp; Networking</v>
    <v>Stock</v>
    <v>44025.666666666664</v>
    <v>4</v>
    <v>86.22</v>
    <v>290139700000</v>
    <v>Telefonaktiebolaget LM Ericsson</v>
    <v>Telefonaktiebolaget LM Ericsson</v>
    <v>86.72</v>
    <v>139.99</v>
    <v>86.46</v>
    <v>87.8</v>
    <v>87.8</v>
    <v>3334152000</v>
    <v>ERIC B</v>
    <v>Telefonaktiebolaget LM Ericsson (XSTO:ERIC B)</v>
    <v>4786090</v>
  </rv>
  <rv s="4">
    <v>5</v>
  </rv>
  <rv s="0">
    <v>http://en.wikipedia.org/wiki/H&amp;M</v>
    <v>Wikipedia</v>
  </rv>
  <rv s="1">
    <v>0</v>
    <v>7</v>
  </rv>
  <rv s="2">
    <v>6</v>
    <v>7</v>
    <v>https://www.bing.com/th?id=AMMS_49aa44dce555e968f8570942e0a037aa&amp;qlt=95</v>
    <v>8</v>
    <v>https://www.bing.com/images/search?form=xlimg&amp;q=h%26m</v>
    <v>Image of H &amp; M Hennes &amp; Mauritz AB</v>
    <v/>
  </rv>
  <rv s="0">
    <v>https://www.bing.com/financeapi/forcetrigger?t=amwn2w&amp;q=XSTO%3aHM+B&amp;form=skydnc</v>
    <v>Learn more on Bing</v>
  </rv>
  <rv s="3">
    <v>en-US</v>
    <v>amwn2w</v>
    <v>268435456</v>
    <v>268435457</v>
    <v>1</v>
    <v>Powered by Refinitiv</v>
    <v>0</v>
    <v>H &amp; M Hennes &amp; Mauritz AB (XSTO:HM B)</v>
    <v>3</v>
    <v>4</v>
    <v>Finance</v>
    <v>5</v>
    <v>214.25</v>
    <v>98.2</v>
    <v>1.2914000000000001</v>
    <v>2.35</v>
    <v>0</v>
    <v>1.7072E-2</v>
    <v>0</v>
    <v>SEK</v>
    <v>H &amp; M Hennes &amp; Mauritz AB is a Sweden-based company active in the clothing industry. It operates under such brand names, as H&amp;M, H&amp;M Home, COS, Monki, Weekday, Cheap Monday and &amp; Other Stories. It is engaged in the design, manufacture and marketing of clothing items and related accessories. The Company’s product range comprises clothing, including underwear and sportswear, for men, women, children and teenagers, as well as cosmetic products, accessories, footwear and home textiles. The Company offers its products in a number of branded stores spread across over 40 markets. Additionally, the Company offers online and catalogue sales in Sweden, Norway, Denmark, Finland, the Netherlands, Germany, Austria and the United Kingdom, among others.</v>
    <v>179000</v>
    <v>NASDAQ Stockholm</v>
    <v>XSTO</v>
    <v>XSTO</v>
    <v>Maester Samuelsgatan 46A, STOCKHOLM, STOCKHOLM, 111 57 SE</v>
    <v>140</v>
    <v>9</v>
    <v>Specialty Retailers</v>
    <v>Stock</v>
    <v>44025.666666666664</v>
    <v>10</v>
    <v>137.15</v>
    <v>201061500000</v>
    <v>H &amp; M Hennes &amp; Mauritz AB</v>
    <v>H &amp; M Hennes &amp; Mauritz AB</v>
    <v>138.55000000000001</v>
    <v>45.66</v>
    <v>137.65</v>
    <v>140</v>
    <v>140</v>
    <v>1460672000</v>
    <v>HM B</v>
    <v>H &amp; M Hennes &amp; Mauritz AB (XSTO:HM B)</v>
    <v>4338200</v>
  </rv>
  <rv s="4">
    <v>11</v>
  </rv>
  <rv s="0">
    <v>http://de.wikipedia.org/wiki/Investor_AB</v>
    <v>Wikipedia</v>
  </rv>
  <rv s="1">
    <v>0</v>
    <v>13</v>
  </rv>
  <rv s="2">
    <v>6</v>
    <v>7</v>
    <v>https://www.bing.com/th?id=AMMS_fc6f4e6d6b085c143f2892c35e7a85ba&amp;qlt=95</v>
    <v>14</v>
    <v>https://www.bing.com/images/search?form=xlimg&amp;q=investor+ab</v>
    <v>Image of Investor AB</v>
    <v/>
  </rv>
  <rv s="0">
    <v>https://www.bing.com/financeapi/forcetrigger?t=amwpzr&amp;q=XSTO%3aINVE+B&amp;form=skydnc</v>
    <v>Learn more on Bing</v>
  </rv>
  <rv s="5">
    <v>en-US</v>
    <v>amwpzr</v>
    <v>268435456</v>
    <v>268435457</v>
    <v>1</v>
    <v>Powered by Refinitiv</v>
    <v>8</v>
    <v>Investor AB (XSTO:INVE B)</v>
    <v>3</v>
    <v>9</v>
    <v>Finance</v>
    <v>5</v>
    <v>0.98440000000000005</v>
    <v>9.1999999999999993</v>
    <v>0</v>
    <v>1.8175E-2</v>
    <v>0</v>
    <v>SEK</v>
    <v>Investor AB is a Sweden-based industrial holding company. Its operations are divided into three business segments: Listed Core Investments, EQT and Patricia Industries. The Listed Core Investments segment consists of listed holdings, which embrace ABB, AstraZeneca, Atlas Copco, Electrolux, Ericsson, Husqvarna, Nasdaq, Saab, SEB, Sobi and Wartsila. The EQT segment consists of the holdings in EQT private equity company. The Patricia Industries includes the wholly-owned subsidiaries, 3 Scandinavia and the former IGC portfolio, as well as all other financial investments, except EQT and the Company’s trading portfolio. The wholly-owned subsidiaries include Aleris, BraunAbility, Laborie, Molnlycke, Permobil, The Grand Group and Vectura.</v>
    <v>15641</v>
    <v>NASDAQ Stockholm</v>
    <v>XSTO</v>
    <v>XSTO</v>
    <v>Arsenalsgatan 8c, STOCKHOLM, STOCKHOLM, 103 32 SE</v>
    <v>517</v>
    <v>15</v>
    <v>Holding Companies</v>
    <v>Stock</v>
    <v>44025.666666666664</v>
    <v>16</v>
    <v>507.6</v>
    <v>387034900000</v>
    <v>Investor AB</v>
    <v>Investor AB</v>
    <v>511</v>
    <v>9.3699999999999992</v>
    <v>506.2</v>
    <v>515.4</v>
    <v>515.4</v>
    <v>767175000</v>
    <v>INVE B</v>
    <v>Investor AB (XSTO:INVE B)</v>
    <v>894750</v>
  </rv>
  <rv s="4">
    <v>17</v>
  </rv>
  <rv s="0">
    <v>https://www.bing.com/financeapi/forcetrigger?t=amw4m7&amp;q=XSTO%3aALIV+SDB&amp;form=skydnc</v>
    <v>Learn more on Bing</v>
  </rv>
  <rv s="6">
    <v>en-US</v>
    <v>amw4m7</v>
    <v>268435456</v>
    <v>268435457</v>
    <v>1</v>
    <v>Powered by Refinitiv</v>
    <v>10</v>
    <v>AUTOLIV, INC. (XSTO:ALIV SDB)</v>
    <v>11</v>
    <v>12</v>
    <v>Finance</v>
    <v>5</v>
    <v>837.8</v>
    <v>390</v>
    <v>1.2009000000000001</v>
    <v>9</v>
    <v>0</v>
    <v>1.5125999999999999E-2</v>
    <v>0</v>
    <v>SEK</v>
    <v>Autoliv, Inc. is a supplier of automotive safety systems with a range of product offerings, including passive safety systems and active safety systems. The Company operates through its Passive Safety segment. The Passive safety products include modules and components for passenger and driver-side airbags, side-impact airbag protection systems, seatbelts, steering wheels, inflator technologies, whiplash protection systems and child seats, and components for such systems, as well as passive safety electronic products, such as restraint electronics and crash sensors. The Active safety products include camera-based vision systems, night driving assist, automotive radars, brake controls, positioning systems, electronic control units, and other active safety systems. As of December 31, 2016, including joint venture operations, the Company had approximately 78 production facilities in 25 countries, consisting of both component factories and assembly factories.</v>
    <v>65500</v>
    <v>NASDAQ Stockholm</v>
    <v>XSTO</v>
    <v>XSTO</v>
    <v>Section B7, Klarabergsviadukten 70, STOCKHOLM, STOCKHOLM, 111 64 SE</v>
    <v>613.6</v>
    <v>Automobiles &amp; Auto Parts</v>
    <v>Stock</v>
    <v>44025.666666666664</v>
    <v>19</v>
    <v>600.20000000000005</v>
    <v>52552960000</v>
    <v>AUTOLIV, INC.</v>
    <v>AUTOLIV, INC.</v>
    <v>603</v>
    <v>10.62</v>
    <v>595</v>
    <v>604</v>
    <v>604</v>
    <v>87331790</v>
    <v>ALIV SDB</v>
    <v>AUTOLIV, INC. (XSTO:ALIV SDB)</v>
    <v>306862</v>
    <v>1996</v>
  </rv>
  <rv s="4">
    <v>20</v>
  </rv>
  <rv s="0">
    <v>https://creativecommons.org/licenses/by/4.0</v>
    <v>CC BY 4.0</v>
  </rv>
  <rv s="0">
    <v>http://en.wikipedia.org/wiki/Kinnevik_AB</v>
    <v>Wikipedia</v>
  </rv>
  <rv s="1">
    <v>22</v>
    <v>23</v>
  </rv>
  <rv s="2">
    <v>6</v>
    <v>7</v>
    <v>https://www.bing.com/th?id=AMMS_91527f154a43f44fef65f55713150b01&amp;qlt=95</v>
    <v>24</v>
    <v>https://www.bing.com/images/search?form=xlimg&amp;q=investment+ab+kinnevik</v>
    <v>Image of Kinnevik AB</v>
    <v/>
  </rv>
  <rv s="0">
    <v>https://www.bing.com/financeapi/forcetrigger?t=amwsdm&amp;q=XSTO%3aKINV+B&amp;form=skydnc</v>
    <v>Learn more on Bing</v>
  </rv>
  <rv s="3">
    <v>en-US</v>
    <v>amwsdm</v>
    <v>268435456</v>
    <v>268435457</v>
    <v>1</v>
    <v>Powered by Refinitiv</v>
    <v>0</v>
    <v>Kinnevik AB (XSTO:KINV B)</v>
    <v>3</v>
    <v>4</v>
    <v>Finance</v>
    <v>5</v>
    <v>280.60000000000002</v>
    <v>131.69999999999999</v>
    <v>1.3438000000000001</v>
    <v>15.7</v>
    <v>0</v>
    <v>5.9627999999999994E-2</v>
    <v>0</v>
    <v>SEK</v>
    <v>Kinnevik AB is a Sweden-based investment company focused on building digital consumer businesses. The Company's operations are divided into four segments, namely: E-commerce and Marketplaces, Communication, Entertainment and Financial Services. The E-commerce and Marketplaces segment is represented by such investments, as Zalando, Global Fashion Group, Qliro Group, Home24, Lazada, Linio, Konga and Rocket Internet, among others. The Communication segment is represented by such investments, as Tele2 and MiIlicom. The Entertainment segment is represented by MTG and Metro investments. The Financial services segment is represented by Bayport, Betterment, Bima investments. The Company operates globally in more than 80 counties.</v>
    <v>40</v>
    <v>NASDAQ Stockholm</v>
    <v>XSTO</v>
    <v>XSTO</v>
    <v>Skeppsbron 18, STOCKHOLM, STOCKHOLM, 103 13 SE</v>
    <v>279.89999999999998</v>
    <v>25</v>
    <v>Holding Companies</v>
    <v>Stock</v>
    <v>44025.666666666664</v>
    <v>26</v>
    <v>269.2</v>
    <v>72640410000</v>
    <v>Kinnevik AB</v>
    <v>Kinnevik AB</v>
    <v>270.39999999999998</v>
    <v>2.38</v>
    <v>263.3</v>
    <v>279</v>
    <v>279</v>
    <v>275666600</v>
    <v>KINV B</v>
    <v>Kinnevik AB (XSTO:KINV B)</v>
    <v>1143100</v>
  </rv>
  <rv s="4">
    <v>27</v>
  </rv>
  <rv s="0">
    <v>http://en.wikipedia.org/wiki/Atlas_Copco</v>
    <v>Wikipedia</v>
  </rv>
  <rv s="1">
    <v>0</v>
    <v>29</v>
  </rv>
  <rv s="2">
    <v>6</v>
    <v>7</v>
    <v>https://www.bing.com/th?id=AMMS_f691da07efc984db49409ee18e3268d9&amp;qlt=95</v>
    <v>30</v>
    <v>https://www.bing.com/images/search?form=xlimg&amp;q=atlas+copco</v>
    <v>Image of Atlas Copco AB</v>
    <v/>
  </rv>
  <rv s="0">
    <v>https://www.bing.com/financeapi/forcetrigger?t=amw6f2&amp;q=XSTO%3aATCO+B&amp;form=skydnc</v>
    <v>Learn more on Bing</v>
  </rv>
  <rv s="3">
    <v>en-US</v>
    <v>amw6f2</v>
    <v>268435456</v>
    <v>268435457</v>
    <v>1</v>
    <v>Powered by Refinitiv</v>
    <v>0</v>
    <v>Atlas Copco AB (XSTO:ATCO B)</v>
    <v>3</v>
    <v>4</v>
    <v>Finance</v>
    <v>5</v>
    <v>365.3</v>
    <v>187.68</v>
    <v>1.1702999999999999</v>
    <v>5.3</v>
    <v>0</v>
    <v>1.4763E-2</v>
    <v>0</v>
    <v>SEK</v>
    <v>Atlas Copco AB is a Sweden-based holding company. The Company is a provider of various productivity solutions. It serves customers with compressors, vacuum solutions and air treatment systems, power tools and assembly systems, pumps and generators. The Company divides its activities into four segments: Compressor Technique, Vacuum Technique, Industrial Technique, and Power Technique. Compressor Technique provides industrial compressors, vacuum solutions, gas and process compressors and expanders, air and gas treatment equipment and air management systems. Vacuum Technique provides vacuum products, exhaust management systems, valves and related products. Industrial Technique provides industrial power tools and systems, industrial assembly solutions, quality assurance products, software and service. Power Technique provides air, power and flow solutions through products such as mobile compressors, pumps, light towers and generators.</v>
    <v>39611</v>
    <v>NASDAQ Stockholm</v>
    <v>XSTO</v>
    <v>XSTO</v>
    <v>Sickla Industrivag 19, NACKA, STOCKHOLM, 105 23 SE</v>
    <v>365.5</v>
    <v>31</v>
    <v>Machinery, Equipment &amp; Components</v>
    <v>Stock</v>
    <v>44025.666666666664</v>
    <v>32</v>
    <v>358.5</v>
    <v>482393500000</v>
    <v>Atlas Copco AB</v>
    <v>Atlas Copco AB</v>
    <v>363.1</v>
    <v>8.3800000000000008</v>
    <v>359</v>
    <v>364.3</v>
    <v>364.3</v>
    <v>1229613000</v>
    <v>ATCO B</v>
    <v>Atlas Copco AB (XSTO:ATCO B)</v>
    <v>308133</v>
  </rv>
  <rv s="4">
    <v>33</v>
  </rv>
  <rv s="0">
    <v>https://www.bing.com/financeapi/forcetrigger?t=a1z5cw&amp;q=XNYS%3aOHI&amp;form=skydnc</v>
    <v>Learn more on Bing</v>
  </rv>
  <rv s="7">
    <v>en-US</v>
    <v>a1z5cw</v>
    <v>268435456</v>
    <v>268435457</v>
    <v>1</v>
    <v>Powered by Refinitiv</v>
    <v>13</v>
    <v>OMEGA HEALTHCARE INVESTORS, INC. (XNYS:OHI)</v>
    <v>11</v>
    <v>14</v>
    <v>Finance</v>
    <v>15</v>
    <v>45.22</v>
    <v>13.33</v>
    <v>0.83640000000000003</v>
    <v>-0.19500000000000001</v>
    <v>-6.3790000000000001E-3</v>
    <v>USD</v>
    <v>Omega Healthcare Investors, Inc. is a self-administered real estate investment trust (REIT). The Company maintains a portfolio of long-term healthcare facilities and mortgages on healthcare facilities located in the United States and the United Kingdom. It operates through the segment, which consists of investments in healthcare-related real estate properties. It provides lease or mortgage financing to qualified operators of skilled nursing facilities (SNFs) and assisted living facilities (ALFs), independent living facilities, rehabilitation and acute care facilities. Its portfolio consists of long-term leases and mortgage agreements.</v>
    <v>49</v>
    <v>New York Stock Exchange</v>
    <v>XNYS</v>
    <v>XNYS</v>
    <v>303 International Cir Ste 200, HUNT VALLEY, MD, 21030-1359 US</v>
    <v>30.72</v>
    <v>Residential &amp; Commercial REIT</v>
    <v>Stock</v>
    <v>44025.748287037037</v>
    <v>35</v>
    <v>30.02</v>
    <v>6936385000</v>
    <v>OMEGA HEALTHCARE INVESTORS, INC.</v>
    <v>OMEGA HEALTHCARE INVESTORS, INC.</v>
    <v>30.47</v>
    <v>19.2407</v>
    <v>30.57</v>
    <v>30.375</v>
    <v>226901700</v>
    <v>OHI</v>
    <v>OMEGA HEALTHCARE INVESTORS, INC. (XNYS:OHI)</v>
    <v>1418406</v>
    <v>2841702</v>
    <v>1992</v>
  </rv>
  <rv s="4">
    <v>36</v>
  </rv>
  <rv s="0">
    <v>http://tr.wikipedia.org/wiki/AT&amp;T</v>
    <v>Wikipedia</v>
  </rv>
  <rv s="1">
    <v>0</v>
    <v>38</v>
  </rv>
  <rv s="2">
    <v>6</v>
    <v>7</v>
    <v>https://www.bing.com/th?id=AMMS_22edc37b3d4ca713a66f23973844e621&amp;qlt=95</v>
    <v>39</v>
    <v>https://www.bing.com/images/search?form=xlimg&amp;q=at%26t</v>
    <v>Image of AT&amp;T INC.</v>
    <v/>
  </rv>
  <rv s="0">
    <v>https://www.bing.com/financeapi/forcetrigger?t=a23www&amp;q=XNYS%3aT&amp;form=skydnc</v>
    <v>Learn more on Bing</v>
  </rv>
  <rv s="8">
    <v>en-US</v>
    <v>a23www</v>
    <v>268435456</v>
    <v>268435457</v>
    <v>1</v>
    <v>Powered by Refinitiv</v>
    <v>16</v>
    <v>AT&amp;T INC. (XNYS:T)</v>
    <v>3</v>
    <v>17</v>
    <v>Finance</v>
    <v>15</v>
    <v>39.700000000000003</v>
    <v>26.08</v>
    <v>0.67849999999999999</v>
    <v>-0.23499999999999999</v>
    <v>-7.8000000000000005E-3</v>
    <v>USD</v>
    <v>AT&amp;T Inc. is a holding company. The Company is a provider of telecommunications, media and technology services globally. The Company operates through four segments: Communication segment, WarnerMedia segment, Latin America segment and Xandr segment. The Communications segment provides wireless and wireline telecom, video and broadband services to consumers.The business units of the Communication segment includes Mobility, Entertainment Group and Business Wireline. The WarnerMedia segment develops, produces and distributes feature films, television, gaming and other content over various physical and digital formats. The business units of the WarnerMedia segment includes Turner, Home Box Office and Warner Bros. Latin America segment provides entertainment services in Latin America and wireless services in Mexico. Viro and Mexico are the business units of the Latin America segment. The Xandr segment provides advertising services.</v>
    <v>244000</v>
    <v>New York Stock Exchange</v>
    <v>XNYS</v>
    <v>XNYS</v>
    <v>208 S Akard St, DALLAS, TX, 75202-4206 US</v>
    <v>30.17</v>
    <v>40</v>
    <v>Telecommunications Services</v>
    <v>Stock</v>
    <v>44025.749424062502</v>
    <v>41</v>
    <v>29.72</v>
    <v>214676300000</v>
    <v>AT&amp;T INC.</v>
    <v>AT&amp;T INC.</v>
    <v>30.17</v>
    <v>15.328200000000001</v>
    <v>30.13</v>
    <v>29.895</v>
    <v>7125000000</v>
    <v>T</v>
    <v>AT&amp;T INC. (XNYS:T)</v>
    <v>19469504</v>
    <v>40678800</v>
    <v>1983</v>
  </rv>
  <rv s="4">
    <v>42</v>
  </rv>
  <rv s="0">
    <v>https://www.bing.com/financeapi/forcetrigger?t=brkdoc&amp;q=XSTO%3aEQT&amp;form=skydnc</v>
    <v>Learn more on Bing</v>
  </rv>
  <rv s="9">
    <v>en-US</v>
    <v>brkdoc</v>
    <v>268435456</v>
    <v>268435457</v>
    <v>1</v>
    <v>Powered by Refinitiv</v>
    <v>18</v>
    <v>EQT AB (XSTO:EQT)</v>
    <v>11</v>
    <v>19</v>
    <v>Finance</v>
    <v>5</v>
    <v>4.0999999999999996</v>
    <v>0</v>
    <v>2.2233999999999997E-2</v>
    <v>0</v>
    <v>SEK</v>
    <v>EQT AB is a Sweden-based differentiated global investment company. It manages and advises a range of specialized investment funds and other investment vehicles that invest across the world. The Company has three business segments: Private Capital, Real Assets and Credit. The Private Capital business segment invests in medium-sized to large companies in Europe and the United States, China and Southeast Asia, technology-driven companies across all industries and public companies. The Real Assets business segment invests in infrastructure and real estate businesses. The Credit segments offers an investment platform.</v>
    <v>706</v>
    <v>NASDAQ Stockholm</v>
    <v>XSTO</v>
    <v>XSTO</v>
    <v>Regeringsgatan 25, STOCKHOLM, STOCKHOLM, 111 53 SE</v>
    <v>188.9</v>
    <v>Investment Banking &amp; Investment Services</v>
    <v>Stock</v>
    <v>44025.666666666664</v>
    <v>44</v>
    <v>183.2</v>
    <v>175014600000</v>
    <v>EQT AB</v>
    <v>EQT AB</v>
    <v>186</v>
    <v>94.02</v>
    <v>184.4</v>
    <v>188.5</v>
    <v>188.5</v>
    <v>952983900</v>
    <v>EQT</v>
    <v>EQT AB (XSTO:EQT)</v>
    <v>600826</v>
  </rv>
  <rv s="4">
    <v>45</v>
  </rv>
  <rv s="0">
    <v>http://en.wikipedia.org/wiki/NCC_(company)</v>
    <v>Wikipedia</v>
  </rv>
  <rv s="1">
    <v>0</v>
    <v>47</v>
  </rv>
  <rv s="2">
    <v>6</v>
    <v>7</v>
    <v>https://www.bing.com/th?id=AMMS_9ac417b9b0065d55837f5565b53ff1d3&amp;qlt=95</v>
    <v>48</v>
    <v>https://www.bing.com/images/search?form=xlimg&amp;q=ncc+ab</v>
    <v>Image of NCC AB</v>
    <v/>
  </rv>
  <rv s="0">
    <v>https://www.bing.com/financeapi/forcetrigger?t=amwy9c&amp;q=XSTO%3aNCC+B&amp;form=skydnc</v>
    <v>Learn more on Bing</v>
  </rv>
  <rv s="3">
    <v>en-US</v>
    <v>amwy9c</v>
    <v>268435456</v>
    <v>268435457</v>
    <v>1</v>
    <v>Powered by Refinitiv</v>
    <v>0</v>
    <v>NCC AB (XSTO:NCC B)</v>
    <v>3</v>
    <v>4</v>
    <v>Finance</v>
    <v>5</v>
    <v>197.2</v>
    <v>100</v>
    <v>0.81850000000000001</v>
    <v>2</v>
    <v>0</v>
    <v>1.2421999999999999E-2</v>
    <v>0</v>
    <v>SEK</v>
    <v>Ncc AB is a Sweden-based company active within the construction and property development industry. Its operations are divided into three business areas: Industry, Building and Construction, and Development. The Industry area is managed by NCC Roads and focuses on the production of asphalt, as well as is engaged in paving operations and road services. The Building and Construction area is managed by NCC Construction units in Sweden, Denmark, Finland and Norway. The area is engaged in the construction of residential and office properties, other buildings, industrial facilities, roads, civil-engineering structures and other infrastructure. The Development area is managed by NCC Housing and NCC Property Development and is engaged in the development and sale of both residential and commercial properties. The Company’s core business is conducted in the Nordic region, the Baltic States and Germany.</v>
    <v>14225</v>
    <v>NASDAQ Stockholm</v>
    <v>XSTO</v>
    <v>XSTO</v>
    <v>Herrjarva torg 4, SOLNA, STOCKHOLM, 170 80 SE</v>
    <v>163.30000000000001</v>
    <v>49</v>
    <v>Construction &amp; Engineering</v>
    <v>Stock</v>
    <v>44025.666666666664</v>
    <v>50</v>
    <v>161.5</v>
    <v>17451670000</v>
    <v>NCC AB</v>
    <v>NCC AB</v>
    <v>162.30000000000001</v>
    <v>28.53</v>
    <v>161</v>
    <v>163</v>
    <v>163</v>
    <v>108435800</v>
    <v>NCC B</v>
    <v>NCC AB (XSTO:NCC B)</v>
    <v>85235</v>
  </rv>
  <rv s="4">
    <v>51</v>
  </rv>
  <rv s="0">
    <v>https://www.bing.com/financeapi/forcetrigger?t=bho627&amp;q=XSTO%3aVASLOG&amp;form=skydnc</v>
    <v>Learn more on Bing</v>
  </rv>
  <rv s="10">
    <v>en-US</v>
    <v>bho627</v>
    <v>268435456</v>
    <v>268435457</v>
    <v>1</v>
    <v>Powered by Refinitiv</v>
    <v>20</v>
    <v>Vastsvensk Logistik AB (publ) (XSTO:VASLOG)</v>
    <v>11</v>
    <v>21</v>
    <v>Finance</v>
    <v>22</v>
    <v>107</v>
    <v>58</v>
    <v>0.5</v>
    <v>6.2500000000000003E-3</v>
    <v>SEK</v>
    <v>Vastsvensk Logistik AB (publ) is a Sweden-based company engaged in the real estate sector. The Company owns, manages and leases a non-residential property in Molndal, Sweden. The Company’s asset consists of logistics building and office building.</v>
    <v>NASDAQ Stockholm</v>
    <v>XSTO</v>
    <v>XSTO</v>
    <v>c/o Hestia Fastighetsforvaltning AB, Box 239, VASTERAS, VASTMANLAND, 721 06 SE</v>
    <v>80.5</v>
    <v>Real Estate Operations</v>
    <v>Stock</v>
    <v>44025.666666666664</v>
    <v>53</v>
    <v>73</v>
    <v>196000000</v>
    <v>Vastsvensk Logistik AB (publ)</v>
    <v>Vastsvensk Logistik AB (publ)</v>
    <v>78</v>
    <v>80</v>
    <v>80.5</v>
    <v>80.5</v>
    <v>2450000</v>
    <v>VASLOG</v>
    <v>Vastsvensk Logistik AB (publ) (XSTO:VASLOG)</v>
    <v>736</v>
  </rv>
  <rv s="4">
    <v>54</v>
  </rv>
  <rv s="0">
    <v>https://www.bing.com/financeapi/forcetrigger?t=amwbpr&amp;q=XSTO%3aCAST&amp;form=skydnc</v>
    <v>Learn more on Bing</v>
  </rv>
  <rv s="11">
    <v>en-US</v>
    <v>amwbpr</v>
    <v>268435456</v>
    <v>268435457</v>
    <v>1</v>
    <v>Powered by Refinitiv</v>
    <v>23</v>
    <v>Castellum AB (XSTO:CAST)</v>
    <v>11</v>
    <v>24</v>
    <v>Finance</v>
    <v>5</v>
    <v>257</v>
    <v>124.5</v>
    <v>0.45479999999999998</v>
    <v>0.65</v>
    <v>0</v>
    <v>3.689E-3</v>
    <v>0</v>
    <v>SEK</v>
    <v>Castellum AB is a Sweden-based company active within the real estate sector. The Company is engaged in the acquisition, ownership, management and development of property on a long-term basis. The property portfolio of Castellum AB comprises commercial real estate, including offices, public sector properties, warehouses and logistics properties, retail properties and light industry properties, covering approximately 4.3 million square meters of total leasable area. The Company is also involved in the coworking and shared office space sector. Castellum AB operates in approximately 20 cities across Sweden, as well as in Copenhagen, Denmark and Helsinki, Finland.</v>
    <v>420</v>
    <v>NASDAQ Stockholm</v>
    <v>XSTO</v>
    <v>XSTO</v>
    <v>Ostra Hamngatan 16, GOETEBORG, VASTRA GOTALANDS, 403 14 SE</v>
    <v>179.1</v>
    <v>Real Estate Operations</v>
    <v>Stock</v>
    <v>44025.666666666664</v>
    <v>56</v>
    <v>175.4</v>
    <v>48138050000</v>
    <v>Castellum AB</v>
    <v>Castellum AB</v>
    <v>177.8</v>
    <v>10.050000000000001</v>
    <v>176.2</v>
    <v>176.85</v>
    <v>176.85</v>
    <v>273201200</v>
    <v>CAST</v>
    <v>Castellum AB (XSTO:CAST)</v>
    <v>441236</v>
  </rv>
  <rv s="4">
    <v>57</v>
  </rv>
  <rv s="0">
    <v>http://en.wikipedia.org/wiki/Axfood</v>
    <v>Wikipedia</v>
  </rv>
  <rv s="1">
    <v>0</v>
    <v>59</v>
  </rv>
  <rv s="2">
    <v>6</v>
    <v>7</v>
    <v>https://www.bing.com/th?id=AMMS_0fc289fa19d264b8292a937ab061bb33&amp;qlt=95</v>
    <v>60</v>
    <v>https://www.bing.com/images/search?form=xlimg&amp;q=axfood</v>
    <v>Image of Axfood AB</v>
    <v/>
  </rv>
  <rv s="0">
    <v>https://www.bing.com/financeapi/forcetrigger?t=amw7bh&amp;q=XSTO%3aAXFO&amp;form=skydnc</v>
    <v>Learn more on Bing</v>
  </rv>
  <rv s="3">
    <v>en-US</v>
    <v>amw7bh</v>
    <v>268435456</v>
    <v>268435457</v>
    <v>1</v>
    <v>Powered by Refinitiv</v>
    <v>0</v>
    <v>Axfood AB (XSTO:AXFO)</v>
    <v>3</v>
    <v>4</v>
    <v>Finance</v>
    <v>5</v>
    <v>221.8</v>
    <v>150.15</v>
    <v>0.1794</v>
    <v>-0.8</v>
    <v>0</v>
    <v>-3.9639999999999996E-3</v>
    <v>0</v>
    <v>SEK</v>
    <v>Axfood AB is a Sweden-based company engaged in the food retail and wholesale trade in Sweden. The Company’s retail business is conducted through three wholly owned chains: Willys, specializing in discount food retail; Hemkop, which is engaged in the sales of food retail products, and PrisXtra, which is a grocery chain serving the Stockholm market. The Company owns and operates over 200 retail stores. The Company’s wholesale business is conducted through Dagab, which supplies Axfood Group and the Vi chain, and Axfood Narlivs, a convenience store wholesaler. Axfood has a portfolio of private labels, including Hemkop, Garant, Garant Ekologiska varor, Aware, Saklart, Func and Fixa. Among others, the Company operates via Middagsfrid AB. The Company's major shareholder is Axel Johnson AB.</v>
    <v>10476</v>
    <v>NASDAQ Stockholm</v>
    <v>XSTO</v>
    <v>XSTO</v>
    <v>Norra stationsgatan 80 C, STOCKHOLM, STOCKHOLM, 107 69 SE</v>
    <v>202.4</v>
    <v>61</v>
    <v>Food &amp; Drug Retailing</v>
    <v>Stock</v>
    <v>44025.666666666664</v>
    <v>62</v>
    <v>199.5</v>
    <v>42351910000</v>
    <v>Axfood AB</v>
    <v>Axfood AB</v>
    <v>201.8</v>
    <v>24.85</v>
    <v>201.8</v>
    <v>201</v>
    <v>201</v>
    <v>209870700</v>
    <v>AXFO</v>
    <v>Axfood AB (XSTO:AXFO)</v>
    <v>329310</v>
  </rv>
  <rv s="4">
    <v>63</v>
  </rv>
  <rv s="0">
    <v>https://creativecommons.org/licenses/by-sa/4.0</v>
    <v>CC BY-SA 4.0</v>
  </rv>
  <rv s="0">
    <v>http://sv.wikipedia.org/wiki/Swedbank</v>
    <v>Wikipedia</v>
  </rv>
  <rv s="1">
    <v>65</v>
    <v>66</v>
  </rv>
  <rv s="2">
    <v>6</v>
    <v>7</v>
    <v>https://www.bing.com/th?id=AMMS_813800af8ea77f18dfa72731ec0cc818&amp;qlt=95</v>
    <v>67</v>
    <v>https://www.bing.com/images/search?form=xlimg&amp;q=swedbank</v>
    <v>Image of Swedbank AB</v>
    <v/>
  </rv>
  <rv s="0">
    <v>https://www.bing.com/financeapi/forcetrigger?t=amxddm&amp;q=XSTO%3aSWED+A&amp;form=skydnc</v>
    <v>Learn more on Bing</v>
  </rv>
  <rv s="3">
    <v>en-US</v>
    <v>amxddm</v>
    <v>268435456</v>
    <v>268435457</v>
    <v>1</v>
    <v>Powered by Refinitiv</v>
    <v>0</v>
    <v>Swedbank AB (XSTO:SWED A)</v>
    <v>3</v>
    <v>4</v>
    <v>Finance</v>
    <v>5</v>
    <v>214.8</v>
    <v>99.14</v>
    <v>0.97940000000000005</v>
    <v>3.46</v>
    <v>-6.3139999999999993E-3</v>
    <v>2.5941000000000002E-2</v>
    <v>-0.86399999999999999</v>
    <v>SEK</v>
    <v>Swedbank AB is a savings bank. The Company offers financial services and products in its home markets of Sweden, Estonia, Latvia and Lithuania. The Company's segments are Swedish Banking, Baltic Banking, Large corporates &amp; Institutions, and Group Functions &amp; Other. The Company offers products mainly in the areas of lending, payments and savings. The Swedish Banking segment offers its products to private customers and companies in the Swedish market. The Swedish Banking segment's services are sold through the Company's own branch network, the telephone Bank, the Internet Bank and the distribution network of the independent savings banks. The Baltic Banking segment offers its products to private customers and companies in Estonia, Latvia and Lithuania. The Baltic Banking segment's services are sold through its own branch network, the telephone Bank and the Internet Bank. The Large Corporates &amp; Institutions segment offers its services to large companies and financial institutions.</v>
    <v>15392</v>
    <v>NASDAQ Stockholm</v>
    <v>XSTO</v>
    <v>XSTO</v>
    <v>Landsvagen 40, SUNDBYBERG, STOCKHOLM, 172 63 SE</v>
    <v>136.84</v>
    <v>68</v>
    <v>Banking Services</v>
    <v>Stock</v>
    <v>44025.666666666664</v>
    <v>69</v>
    <v>133.72</v>
    <v>150986900000</v>
    <v>Swedbank AB</v>
    <v>Swedbank AB</v>
    <v>133.80000000000001</v>
    <v>11.71</v>
    <v>133.38</v>
    <v>136.84</v>
    <v>135.976</v>
    <v>1132006000</v>
    <v>SWED A</v>
    <v>Swedbank AB (XSTO:SWED A)</v>
    <v>4899127</v>
  </rv>
  <rv s="4">
    <v>70</v>
  </rv>
  <rv s="0">
    <v>https://www.bing.com/financeapi/forcetrigger?t=amwtcw&amp;q=XSTO%3aLATO+B&amp;form=skydnc</v>
    <v>Learn more on Bing</v>
  </rv>
  <rv s="11">
    <v>en-US</v>
    <v>amwtcw</v>
    <v>268435456</v>
    <v>268435457</v>
    <v>1</v>
    <v>Powered by Refinitiv</v>
    <v>23</v>
    <v>Investment AB Latour (XSTO:LATO B)</v>
    <v>11</v>
    <v>24</v>
    <v>Finance</v>
    <v>5</v>
    <v>183.8</v>
    <v>103.9</v>
    <v>0.7621</v>
    <v>3.2</v>
    <v>0</v>
    <v>1.8571999999999998E-2</v>
    <v>0</v>
    <v>SEK</v>
    <v>Investment AB Latour is a Sweden-based company. Its operations are divided into two business lines. One is made up of the wholly owned industrial and trading operations and the other is a portfolio with listed holdings. Its industrial and trading operations are organized into four business areas: Hultafors Group, Latour Industries, Specma Group and Swegon. The Company's investment portfolio comprises Assa Abloy, Fagerhult, HMS Networks, Loomis, Nederman, Nobia, Securitas, Sweco and Tomra. The Company’s operations are run by its two wholly owned subsidiaries, Nordiska Industri AB and Latour-Gruppen AB, trading with shares and securities is handled by the Karpalunds Angbryggeri AB, while administration of securities is managed by the wholly owned subsidiary, Saki Forvaltning AB.</v>
    <v>6039</v>
    <v>NASDAQ Stockholm</v>
    <v>XSTO</v>
    <v>XSTO</v>
    <v>J A Wettergrens Gata 7, Box 336, GOETEBORG, VASTRA GOTALANDS, 401 25 SE</v>
    <v>175.5</v>
    <v>Industrial Conglomerates</v>
    <v>Stock</v>
    <v>44025.666666666664</v>
    <v>72</v>
    <v>172.1</v>
    <v>102035700000</v>
    <v>Investment AB Latour</v>
    <v>Investment AB Latour</v>
    <v>173.8</v>
    <v>30.34</v>
    <v>172.3</v>
    <v>175.5</v>
    <v>175.5</v>
    <v>592197800</v>
    <v>LATO B</v>
    <v>Investment AB Latour (XSTO:LATO B)</v>
    <v>228496</v>
  </rv>
  <rv s="4">
    <v>73</v>
  </rv>
  <rv s="0">
    <v>https://www.bing.com/financeapi/forcetrigger?t=amx5rw&amp;q=XSTO%3aRATO+B&amp;form=skydnc</v>
    <v>Learn more on Bing</v>
  </rv>
  <rv s="11">
    <v>en-US</v>
    <v>amx5rw</v>
    <v>268435456</v>
    <v>268435457</v>
    <v>1</v>
    <v>Powered by Refinitiv</v>
    <v>23</v>
    <v>Ratos AB (XSTO:RATO B)</v>
    <v>11</v>
    <v>24</v>
    <v>Finance</v>
    <v>5</v>
    <v>37.72</v>
    <v>16.43</v>
    <v>1.2246999999999999</v>
    <v>0.46</v>
    <v>0</v>
    <v>1.7384999999999998E-2</v>
    <v>0</v>
    <v>SEK</v>
    <v>Ratos AB is a Sweden-based private equity company. It owns and develops over 10 unlisted medium-sized enterprises in Nordic region. Enterprises are active in various sectors, such as industry, consumer goods, services and life science, among others. The Company’s portfolio comprises Aibel, the supplier of maintenance and modification services for production platforms and onshore installations within oil and gas industry; Bisnode, the data and analytics company; HENT, the construction company with focus on public and commercial real estate; Plantasjen, the chain for sales of plants and gardening accessories; HL Display, the supplier of products and solutions for in-store communication and merchandising; and Diab, the manufacturer of materials for sandwich composite structures, among others enterprises.</v>
    <v>8527</v>
    <v>NASDAQ Stockholm</v>
    <v>XSTO</v>
    <v>XSTO</v>
    <v>Drottninggatan 2, STOCKHOLM, STOCKHOLM, 111 51 SE</v>
    <v>26.92</v>
    <v>Investment Banking &amp; Investment Services</v>
    <v>Stock</v>
    <v>44025.666666666664</v>
    <v>75</v>
    <v>26.38</v>
    <v>8715573000</v>
    <v>Ratos AB</v>
    <v>Ratos AB</v>
    <v>26.5</v>
    <v>71.510000000000005</v>
    <v>26.46</v>
    <v>26.92</v>
    <v>26.92</v>
    <v>324140900</v>
    <v>RATO B</v>
    <v>Ratos AB (XSTO:RATO B)</v>
    <v>437940</v>
  </rv>
  <rv s="4">
    <v>76</v>
  </rv>
  <rv s="0">
    <v>http://sv.wikipedia.org/wiki/Astra_Zeneca</v>
    <v>Wikipedia</v>
  </rv>
  <rv s="1">
    <v>65</v>
    <v>78</v>
  </rv>
  <rv s="2">
    <v>6</v>
    <v>7</v>
    <v>https://www.bing.com/th?id=AMMS_b2cce4675a6d7507fb76f31542e0dd93&amp;qlt=95</v>
    <v>79</v>
    <v>https://www.bing.com/images/search?form=xlimg&amp;q=astrazeneca</v>
    <v>Image of ASTRAZENECA PLC</v>
    <v/>
  </rv>
  <rv s="0">
    <v>https://www.bing.com/financeapi/forcetrigger?t=amw7mw&amp;q=XSTO%3aAZN&amp;form=skydnc</v>
    <v>Learn more on Bing</v>
  </rv>
  <rv s="12">
    <v>en-US</v>
    <v>amw7mw</v>
    <v>268435456</v>
    <v>268435457</v>
    <v>1</v>
    <v>Powered by Refinitiv</v>
    <v>25</v>
    <v>ASTRAZENECA PLC (XSTO:AZN)</v>
    <v>3</v>
    <v>26</v>
    <v>Finance</v>
    <v>5</v>
    <v>1083.2</v>
    <v>640.29999999999995</v>
    <v>0.55359999999999998</v>
    <v>2.6</v>
    <v>0</v>
    <v>2.6229999999999999E-3</v>
    <v>0</v>
    <v>SEK</v>
    <v>AstraZeneca PLC is a biopharmaceutical company. It focuses on discovery and development of products, which are then manufactured, marketed and sold. It focuses on three main therapy areas: Oncology, Cardiovascular, Renal &amp; Metabolic (CVRM) and Respiratory, while selectively pursuing therapies in Autoimmunity, Infection and Neuroscience. In CVRM, it is expanding its portfolio into the cardiovascular-renal area with roxadustat, as well as investing to explore the benefits of its SGLT2 and GLP-1 franchises in chronic kidney disease (CKD) and heart failure (HF). It has approximately 38 projects in Phase I, including 26 new molecular entities (NMEs), and 12 oncology combination projects. It has approximately 43 projects in Phase II, including 25 NMEs; six additional indications for projects that have reached phase II, and 12 oncology combination projects. It has approximately 22 projects in late-stage development, either in Phase III/pivotal Phase II studies or under regulatory review.</v>
    <v>70600</v>
    <v>NASDAQ Stockholm</v>
    <v>XSTO</v>
    <v>XSTO</v>
    <v>1 Francis Crick Avenue, CAMBRIDGE, CAMBRIDGESHIRE, CB2 0AA GB</v>
    <v>997.6</v>
    <v>80</v>
    <v>Pharmaceuticals</v>
    <v>Stock</v>
    <v>44025.666666666664</v>
    <v>81</v>
    <v>984</v>
    <v>111466600000</v>
    <v>ASTRAZENECA PLC</v>
    <v>ASTRAZENECA PLC</v>
    <v>994</v>
    <v>87.4</v>
    <v>991.4</v>
    <v>994</v>
    <v>994</v>
    <v>1312271000</v>
    <v>AZN</v>
    <v>ASTRAZENECA PLC (XSTO:AZN)</v>
    <v>488224</v>
    <v>1992</v>
  </rv>
  <rv s="4">
    <v>82</v>
  </rv>
  <rv s="0">
    <v>https://www.bing.com/financeapi/forcetrigger?t=amwsp2&amp;q=XSTO%3aKLOV+B&amp;form=skydnc</v>
    <v>Learn more on Bing</v>
  </rv>
  <rv s="11">
    <v>en-US</v>
    <v>amwsp2</v>
    <v>268435456</v>
    <v>268435457</v>
    <v>1</v>
    <v>Powered by Refinitiv</v>
    <v>23</v>
    <v>Klovern AB (XSTO:KLOV B)</v>
    <v>11</v>
    <v>24</v>
    <v>Finance</v>
    <v>5</v>
    <v>27.58</v>
    <v>10.18</v>
    <v>1.0712999999999999</v>
    <v>-0.05</v>
    <v>0</v>
    <v>-3.3760000000000001E-3</v>
    <v>0</v>
    <v>SEK</v>
    <v>Klovern AB is a Sweden-based company active in the real estate sector. The Company is primarily engaged in the acquisition, development and management of commercial real estate properties within the areas of business and science parks, small enterprise parks and city properties. As of December 31, 2011, the Company operated a portfolio of approximately 380 properties. As of December 31, 2011, the Company had 16 wholly owned subsidiaries, such as Klovern Strand AB, Klovern Komp Strom AB and Klovern Adam AB, among others. As of December 31, 2011, the Company’s largest shareholder was Corem Property Group (20%). In December 2013, the Company acquired two office properties in Gothenburg area. In May 2014, it sold four properties in Karlstad, Landskrona, Solleftea and Harnosand in three separate transactions.</v>
    <v>267</v>
    <v>NASDAQ Stockholm</v>
    <v>XSTO</v>
    <v>XSTO</v>
    <v>Bredgrand 4, STOCKHOLM, STOCKHOLM, 111 30 SE</v>
    <v>15.16</v>
    <v>Real Estate Operations</v>
    <v>Stock</v>
    <v>44025.666666666664</v>
    <v>84</v>
    <v>14.73</v>
    <v>18820830000</v>
    <v>Klovern AB</v>
    <v>Klovern AB</v>
    <v>14.91</v>
    <v>4.1100000000000003</v>
    <v>14.81</v>
    <v>14.76</v>
    <v>14.76</v>
    <v>932438000</v>
    <v>KLOV B</v>
    <v>Klovern AB (XSTO:KLOV B)</v>
    <v>1466445</v>
  </rv>
  <rv s="4">
    <v>85</v>
  </rv>
</rvData>
</file>

<file path=xl/richData/rdrichvaluestructure.xml><?xml version="1.0" encoding="utf-8"?>
<rvStructures xmlns="http://schemas.microsoft.com/office/spreadsheetml/2017/richdata" count="13">
  <s t="_hyperlink">
    <k n="Address" t="s"/>
    <k n="Text" t="s"/>
  </s>
  <s t="_sourceattribution">
    <k n="License" t="r"/>
    <k n="Source" t="r"/>
  </s>
  <s t="_imageurl">
    <k n="_Flags" t="spb"/>
    <k n="_Provider" t="spb"/>
    <k n="Address" t="s"/>
    <k n="Attribution" t="r"/>
    <k n="More Images Address" t="s"/>
    <k n="Text" t="s"/>
    <k n="Blip Identifier" t="s"/>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
    <k n="%cvi" t="r"/>
  </s>
  <s t="_linkedentitycore">
    <k n="%EntityCulture" t="s"/>
    <k n="%EntityId" t="s"/>
    <k n="%EntityServiceId"/>
    <k n="%EntitySubDomainId"/>
    <k n="%IsRefreshable" t="b"/>
    <k n="%ProviderInfo" t="s"/>
    <k n="_Display" t="spb"/>
    <k n="_DisplayString" t="s"/>
    <k n="_Flags" t="spb"/>
    <k n="_Format" t="spb"/>
    <k n="_Icon" t="s"/>
    <k n="_SubLabel" t="spb"/>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EntitySubDomainId"/>
    <k n="%IsRefreshable" t="b"/>
    <k n="%ProviderInfo" t="s"/>
    <k n="_Display" t="spb"/>
    <k n="_DisplayString" t="s"/>
    <k n="_Flags" t="spb"/>
    <k n="_Format" t="spb"/>
    <k n="_Icon" t="s"/>
    <k n="_SubLabel" t="spb"/>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s>
  <s t="_linkedentitycore">
    <k n="%EntityCulture" t="s"/>
    <k n="%EntityId" t="s"/>
    <k n="%EntityServiceId"/>
    <k n="%EntitySubDomain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Year incorporated"/>
  </s>
</rvStructures>
</file>

<file path=xl/richData/rdsupportingpropertybag.xml><?xml version="1.0" encoding="utf-8"?>
<supportingPropertyBags xmlns="http://schemas.microsoft.com/office/spreadsheetml/2017/richdata2">
  <spbArrays count="9">
    <a count="45">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Image</v>
      <v t="s">ExchangeID</v>
      <v t="s">%ProviderInfo</v>
      <v t="s">_Display</v>
    </a>
    <a count="43">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Volume</v>
      <v t="s">Market cap</v>
      <v t="s">Beta</v>
      <v t="s">P/E</v>
      <v t="s">Shares outstanding</v>
      <v t="s">Description</v>
      <v t="s">Employees</v>
      <v t="s">Headquarters</v>
      <v t="s">Industry</v>
      <v t="s">Instrument type</v>
      <v t="s">_Flags</v>
      <v t="s">UniqueName</v>
      <v t="s">_DisplayString</v>
      <v t="s">LearnMoreOnLink</v>
      <v t="s">Image</v>
      <v t="s">ExchangeID</v>
      <v t="s">%ProviderInfo</v>
      <v t="s">_Display</v>
    </a>
    <a count="45">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ExchangeID</v>
      <v t="s">%ProviderInfo</v>
      <v t="s">_Display</v>
    </a>
    <a count="43">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_Display</v>
    </a>
    <a count="44">
      <v t="s">%EntityServiceId</v>
      <v t="s">_Format</v>
      <v t="s">%EntitySubDomainId</v>
      <v t="s">%EntityCulture</v>
      <v t="s">%IsRefreshable</v>
      <v t="s">%EntityId</v>
      <v t="s">_Icon</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_Display</v>
    </a>
    <a count="41">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Volume</v>
      <v t="s">Market cap</v>
      <v t="s">P/E</v>
      <v t="s">Shares outstanding</v>
      <v t="s">Description</v>
      <v t="s">Employees</v>
      <v t="s">Headquarters</v>
      <v t="s">Industry</v>
      <v t="s">Instrument type</v>
      <v t="s">_Flags</v>
      <v t="s">UniqueName</v>
      <v t="s">_DisplayString</v>
      <v t="s">LearnMoreOnLink</v>
      <v t="s">ExchangeID</v>
      <v t="s">%ProviderInfo</v>
      <v t="s">_Display</v>
    </a>
    <a count="39">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Market cap</v>
      <v t="s">Shares outstanding</v>
      <v t="s">Description</v>
      <v t="s">Headquarters</v>
      <v t="s">Industry</v>
      <v t="s">Instrument type</v>
      <v t="s">_Flags</v>
      <v t="s">UniqueName</v>
      <v t="s">_DisplayString</v>
      <v t="s">LearnMoreOnLink</v>
      <v t="s">ExchangeID</v>
      <v t="s">%ProviderInfo</v>
      <v t="s">_Display</v>
    </a>
    <a count="44">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_Flags</v>
      <v t="s">UniqueName</v>
      <v t="s">_DisplayString</v>
      <v t="s">LearnMoreOnLink</v>
      <v t="s">ExchangeID</v>
      <v t="s">%ProviderInfo</v>
      <v t="s">_Display</v>
    </a>
    <a count="46">
      <v t="s">%EntityServiceId</v>
      <v t="s">_Format</v>
      <v t="s">%EntitySubDomainId</v>
      <v t="s">%EntityCulture</v>
      <v t="s">%IsRefreshable</v>
      <v t="s">%EntityId</v>
      <v t="s">_Icon</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v t="s">_Display</v>
    </a>
  </spbArrays>
  <spbData count="27">
    <spb s="0">
      <v>0</v>
    </spb>
    <spb s="1">
      <v>0</v>
      <v>0</v>
    </spb>
    <spb s="2">
      <v>0</v>
      <v>0</v>
      <v>0</v>
    </spb>
    <spb s="3">
      <v>1</v>
      <v>2</v>
      <v>2</v>
      <v>2</v>
    </spb>
    <spb s="4">
      <v>1</v>
      <v>2</v>
      <v>2</v>
      <v>1</v>
      <v>3</v>
      <v>1</v>
      <v>4</v>
      <v>1</v>
      <v>1</v>
      <v>5</v>
      <v>5</v>
      <v>6</v>
      <v>7</v>
      <v>1</v>
      <v>1</v>
      <v>1</v>
      <v>8</v>
      <v>9</v>
      <v>10</v>
      <v>10</v>
      <v>5</v>
      <v>1</v>
      <v>1</v>
      <v>6</v>
    </spb>
    <spb s="5">
      <v>at close</v>
      <v>from previous close</v>
      <v>from previous close</v>
      <v>Source: Nasdaq Nordic</v>
      <v>GMT</v>
      <v>Delayed 15 minutes</v>
      <v>from close</v>
      <v>from close</v>
    </spb>
    <spb s="6">
      <v>2</v>
    </spb>
    <spb s="7">
      <v>Powered by Refinitiv</v>
    </spb>
    <spb s="0">
      <v>1</v>
    </spb>
    <spb s="8">
      <v>1</v>
      <v>2</v>
      <v>2</v>
      <v>1</v>
      <v>3</v>
      <v>1</v>
      <v>4</v>
      <v>1</v>
      <v>1</v>
      <v>5</v>
      <v>5</v>
      <v>6</v>
      <v>7</v>
      <v>1</v>
      <v>8</v>
      <v>9</v>
      <v>10</v>
      <v>10</v>
      <v>5</v>
      <v>1</v>
      <v>1</v>
      <v>6</v>
    </spb>
    <spb s="0">
      <v>2</v>
    </spb>
    <spb s="9">
      <v>2</v>
      <v>2</v>
      <v>2</v>
    </spb>
    <spb s="10">
      <v>1</v>
      <v>2</v>
      <v>2</v>
      <v>1</v>
      <v>3</v>
      <v>1</v>
      <v>1</v>
      <v>1</v>
      <v>5</v>
      <v>5</v>
      <v>6</v>
      <v>11</v>
      <v>1</v>
      <v>1</v>
      <v>1</v>
      <v>8</v>
      <v>9</v>
      <v>10</v>
      <v>12</v>
      <v>10</v>
      <v>5</v>
      <v>1</v>
      <v>1</v>
      <v>6</v>
    </spb>
    <spb s="0">
      <v>3</v>
    </spb>
    <spb s="11">
      <v>13</v>
      <v>2</v>
      <v>2</v>
      <v>13</v>
      <v>3</v>
      <v>13</v>
      <v>13</v>
      <v>13</v>
      <v>5</v>
      <v>5</v>
      <v>6</v>
      <v>11</v>
      <v>13</v>
      <v>13</v>
      <v>13</v>
      <v>5</v>
      <v>8</v>
      <v>9</v>
      <v>10</v>
      <v>12</v>
      <v>10</v>
      <v>5</v>
    </spb>
    <spb s="12">
      <v>Real-Time Nasdaq Last Sale</v>
      <v>from previous close</v>
      <v>from previous close</v>
      <v>Source: Nasdaq Last Sale</v>
      <v>GMT</v>
    </spb>
    <spb s="0">
      <v>4</v>
    </spb>
    <spb s="13">
      <v>13</v>
      <v>2</v>
      <v>2</v>
      <v>13</v>
      <v>3</v>
      <v>13</v>
      <v>4</v>
      <v>13</v>
      <v>13</v>
      <v>5</v>
      <v>5</v>
      <v>6</v>
      <v>11</v>
      <v>13</v>
      <v>13</v>
      <v>13</v>
      <v>5</v>
      <v>8</v>
      <v>9</v>
      <v>10</v>
      <v>12</v>
      <v>10</v>
      <v>5</v>
    </spb>
    <spb s="0">
      <v>5</v>
    </spb>
    <spb s="14">
      <v>1</v>
      <v>2</v>
      <v>1</v>
      <v>3</v>
      <v>1</v>
      <v>1</v>
      <v>1</v>
      <v>5</v>
      <v>5</v>
      <v>6</v>
      <v>14</v>
      <v>1</v>
      <v>8</v>
      <v>9</v>
      <v>10</v>
      <v>10</v>
      <v>5</v>
      <v>1</v>
      <v>1</v>
      <v>6</v>
    </spb>
    <spb s="0">
      <v>6</v>
    </spb>
    <spb s="15">
      <v>1</v>
      <v>1</v>
      <v>3</v>
      <v>1</v>
      <v>1</v>
      <v>1</v>
      <v>5</v>
      <v>6</v>
      <v>7</v>
      <v>1</v>
      <v>1</v>
      <v>1</v>
      <v>8</v>
      <v>9</v>
      <v>10</v>
      <v>10</v>
      <v>5</v>
      <v>1</v>
    </spb>
    <spb s="16">
      <v>at close</v>
      <v>from previous close</v>
      <v>from previous close</v>
      <v>Source: Nasdaq Nordic</v>
      <v>GMT</v>
      <v>Delayed 15 minutes</v>
    </spb>
    <spb s="0">
      <v>7</v>
    </spb>
    <spb s="17">
      <v>1</v>
      <v>2</v>
      <v>2</v>
      <v>1</v>
      <v>3</v>
      <v>1</v>
      <v>1</v>
      <v>1</v>
      <v>5</v>
      <v>5</v>
      <v>6</v>
      <v>7</v>
      <v>1</v>
      <v>1</v>
      <v>1</v>
      <v>8</v>
      <v>9</v>
      <v>10</v>
      <v>10</v>
      <v>5</v>
      <v>1</v>
      <v>1</v>
      <v>6</v>
    </spb>
    <spb s="0">
      <v>8</v>
    </spb>
    <spb s="18">
      <v>1</v>
      <v>2</v>
      <v>2</v>
      <v>1</v>
      <v>3</v>
      <v>1</v>
      <v>4</v>
      <v>1</v>
      <v>1</v>
      <v>5</v>
      <v>5</v>
      <v>6</v>
      <v>11</v>
      <v>1</v>
      <v>1</v>
      <v>1</v>
      <v>8</v>
      <v>9</v>
      <v>10</v>
      <v>12</v>
      <v>10</v>
      <v>5</v>
      <v>1</v>
      <v>1</v>
      <v>6</v>
    </spb>
  </spbData>
</supportingPropertyBags>
</file>

<file path=xl/richData/rdsupportingpropertybagstructure.xml><?xml version="1.0" encoding="utf-8"?>
<spbStructures xmlns="http://schemas.microsoft.com/office/spreadsheetml/2017/richdata2" count="19">
  <s>
    <k n="^Order" t="spba"/>
  </s>
  <s>
    <k n="ShowInDotNotation" t="b"/>
    <k n="ShowInAutoComplete" t="b"/>
  </s>
  <s>
    <k n="ShowInCardView" t="b"/>
    <k n="ShowInDotNotation" t="b"/>
    <k n="ShowInAutoComplete" t="b"/>
  </s>
  <s>
    <k n="Image" t="spb"/>
    <k n="ExchangeID" t="spb"/>
    <k n="UniqueName" t="spb"/>
    <k n="%ProviderInfo" t="spb"/>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EntitySubDomain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roviderInfo" t="spb"/>
  </s>
  <s>
    <k n="name" t="s"/>
  </s>
  <s>
    <k n="Low" t="i"/>
    <k n="P/E" t="i"/>
    <k n="Beta" t="i"/>
    <k n="High" t="i"/>
    <k n="Name" t="i"/>
    <k n="Open" t="i"/>
    <k n="Image" t="i"/>
    <k n="Price" t="i"/>
    <k n="Change" t="i"/>
    <k n="Volume" t="i"/>
    <k n="Employees" t="i"/>
    <k n="Change (%)" t="i"/>
    <k n="Market cap" t="i"/>
    <k n="Previous close" t="i"/>
    <k n="_DisplayString" t="i"/>
    <k n="Last trade time" t="i"/>
    <k n="%EntityServiceId" t="i"/>
    <k n="%EntitySubDomainId" t="i"/>
    <k n="Shares outstanding" t="i"/>
    <k n="Price (Extended hours)" t="i"/>
    <k n="Change (Extended hours)" t="i"/>
    <k n="Change % (Extended hours)" t="i"/>
  </s>
  <s>
    <k n="ExchangeID" t="spb"/>
    <k n="UniqueName" t="spb"/>
    <k n="%ProviderInfo" t="spb"/>
  </s>
  <s>
    <k n="Low" t="i"/>
    <k n="P/E" t="i"/>
    <k n="Beta" t="i"/>
    <k n="High" t="i"/>
    <k n="Name" t="i"/>
    <k n="Open"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k n="Price (Extended hours)" t="i"/>
    <k n="Change (Extended hours)" t="i"/>
    <k n="Change % (Extended hours)" t="i"/>
  </s>
  <s>
    <k n="Low" t="i"/>
    <k n="P/E" t="i"/>
    <k n="Beta" t="i"/>
    <k n="High" t="i"/>
    <k n="Name" t="i"/>
    <k n="Open" t="i"/>
    <k n="Price" t="i"/>
    <k n="Change" t="i"/>
    <k n="Volume" t="i"/>
    <k n="Employees" t="i"/>
    <k n="Change (%)" t="i"/>
    <k n="Market cap" t="i"/>
    <k n="52 week low" t="i"/>
    <k n="52 week high" t="i"/>
    <k n="Previous close" t="i"/>
    <k n="Volume average" t="i"/>
    <k n="_DisplayString" t="i"/>
    <k n="Last trade time" t="i"/>
    <k n="%EntityServiceId" t="i"/>
    <k n="Year incorporated" t="i"/>
    <k n="%EntitySubDomainId" t="i"/>
    <k n="Shares outstanding" t="i"/>
  </s>
  <s>
    <k n="Price" t="s"/>
    <k n="Change" t="s"/>
    <k n="Change (%)" t="s"/>
    <k n="ExchangeID" t="s"/>
    <k n="Last trade time" t="s"/>
  </s>
  <s>
    <k n="Low" t="i"/>
    <k n="P/E" t="i"/>
    <k n="Beta" t="i"/>
    <k n="High" t="i"/>
    <k n="Name" t="i"/>
    <k n="Open" t="i"/>
    <k n="Image" t="i"/>
    <k n="Price" t="i"/>
    <k n="Change" t="i"/>
    <k n="Volume" t="i"/>
    <k n="Employees" t="i"/>
    <k n="Change (%)" t="i"/>
    <k n="Market cap" t="i"/>
    <k n="52 week low" t="i"/>
    <k n="52 week high" t="i"/>
    <k n="Previous close" t="i"/>
    <k n="Volume average" t="i"/>
    <k n="_DisplayString" t="i"/>
    <k n="Last trade time" t="i"/>
    <k n="%EntityServiceId" t="i"/>
    <k n="Year incorporated" t="i"/>
    <k n="%EntitySubDomainId" t="i"/>
    <k n="Shares outstanding" t="i"/>
  </s>
  <s>
    <k n="Low" t="i"/>
    <k n="P/E" t="i"/>
    <k n="High" t="i"/>
    <k n="Name" t="i"/>
    <k n="Open" t="i"/>
    <k n="Price" t="i"/>
    <k n="Change" t="i"/>
    <k n="Volume" t="i"/>
    <k n="Employees" t="i"/>
    <k n="Change (%)" t="i"/>
    <k n="Market cap" t="i"/>
    <k n="Previous close" t="i"/>
    <k n="_DisplayString" t="i"/>
    <k n="Last trade time" t="i"/>
    <k n="%EntityServiceId" t="i"/>
    <k n="%EntitySubDomainId" t="i"/>
    <k n="Shares outstanding" t="i"/>
    <k n="Price (Extended hours)" t="i"/>
    <k n="Change (Extended hours)" t="i"/>
    <k n="Change % (Extended hours)" t="i"/>
  </s>
  <s>
    <k n="Low" t="i"/>
    <k n="High" t="i"/>
    <k n="Name" t="i"/>
    <k n="Open" t="i"/>
    <k n="Price" t="i"/>
    <k n="Change" t="i"/>
    <k n="Volume" t="i"/>
    <k n="Change (%)" t="i"/>
    <k n="Market cap" t="i"/>
    <k n="52 week low" t="i"/>
    <k n="52 week high" t="i"/>
    <k n="Previous close" t="i"/>
    <k n="_DisplayString" t="i"/>
    <k n="Last trade time" t="i"/>
    <k n="%EntityServiceId" t="i"/>
    <k n="%EntitySubDomainId" t="i"/>
    <k n="Shares outstanding" t="i"/>
    <k n="Price (Extended hours)" t="i"/>
  </s>
  <s>
    <k n="Price" t="s"/>
    <k n="Change" t="s"/>
    <k n="Change (%)" t="s"/>
    <k n="ExchangeID" t="s"/>
    <k n="Last trade time" t="s"/>
    <k n="Price (Extended hours)" t="s"/>
  </s>
  <s>
    <k n="Low" t="i"/>
    <k n="P/E" t="i"/>
    <k n="Beta" t="i"/>
    <k n="High" t="i"/>
    <k n="Name" t="i"/>
    <k n="Open" t="i"/>
    <k n="Price" t="i"/>
    <k n="Change" t="i"/>
    <k n="Volume" t="i"/>
    <k n="Employees" t="i"/>
    <k n="Change (%)" t="i"/>
    <k n="Market cap" t="i"/>
    <k n="52 week low" t="i"/>
    <k n="52 week high" t="i"/>
    <k n="Previous close" t="i"/>
    <k n="_DisplayString" t="i"/>
    <k n="Last trade time" t="i"/>
    <k n="%EntityServiceId" t="i"/>
    <k n="%EntitySubDomainId" t="i"/>
    <k n="Shares outstanding" t="i"/>
    <k n="Price (Extended hours)" t="i"/>
    <k n="Change (Extended hours)" t="i"/>
    <k n="Change % (Extended hours)" t="i"/>
  </s>
  <s>
    <k n="Low" t="i"/>
    <k n="P/E" t="i"/>
    <k n="Beta" t="i"/>
    <k n="High" t="i"/>
    <k n="Name" t="i"/>
    <k n="Open" t="i"/>
    <k n="Image" t="i"/>
    <k n="Price" t="i"/>
    <k n="Change" t="i"/>
    <k n="Volume" t="i"/>
    <k n="Employees" t="i"/>
    <k n="Change (%)" t="i"/>
    <k n="Market cap" t="i"/>
    <k n="52 week low" t="i"/>
    <k n="52 week high" t="i"/>
    <k n="Previous close" t="i"/>
    <k n="_DisplayString" t="i"/>
    <k n="Last trade time" t="i"/>
    <k n="%EntityServiceId" t="i"/>
    <k n="Year incorporated" t="i"/>
    <k n="%EntitySubDomain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1">
    <x:dxf>
      <x:numFmt numFmtId="168" formatCode="_-* #,##0.00\ [$kr-41D]_-;\-* #,##0.00\ [$kr-41D]_-;_-* &quot;-&quot;??\ [$kr-41D]_-;_-@_-"/>
    </x:dxf>
    <x:dxf>
      <x:numFmt numFmtId="4" formatCode="#,##0.00"/>
    </x:dxf>
    <x:dxf>
      <x:numFmt numFmtId="3" formatCode="#,##0"/>
    </x:dxf>
    <x:dxf>
      <x:numFmt numFmtId="14" formatCode="0.00%"/>
    </x:dxf>
    <x:dxf>
      <x:numFmt numFmtId="167" formatCode="_-* #,##0\ [$kr-41D]_-;\-* #,##0\ [$kr-41D]_-;_-* &quot;-&quot;\ [$kr-41D]_-;_-@_-"/>
    </x:dxf>
    <x:dxf>
      <x:numFmt numFmtId="27" formatCode="yyyy/mm/dd\ hh:mm"/>
    </x:dxf>
    <x:dxf>
      <x:numFmt numFmtId="2" formatCode="0.00"/>
    </x:dxf>
    <x:dxf>
      <x:numFmt numFmtId="166" formatCode="_([$$-409]* #,##0_);_([$$-409]* \(#,##0\);_([$$-409]* &quot;-&quot;_);_(@_)"/>
    </x:dxf>
    <x:dxf>
      <x:numFmt numFmtId="1" formatCode="0"/>
    </x:dxf>
    <x:dxf>
      <x:numFmt numFmtId="165" formatCode="_([$$-409]* #,##0.00_);_([$$-409]* \(#,##0.00\);_([$$-409]* &quot;-&quot;??_);_(@_)"/>
    </x:dxf>
    <x:dxf>
      <x:numFmt numFmtId="164" formatCode="_([$€-2]\ * #,##0_);_([$€-2]\ * \(#,##0\);_([$€-2]\ * &quot;-&quot;_);_(@_)"/>
    </x:dxf>
  </dxfs>
  <richProperties>
    <rPr n="IsTitleField" t="b"/>
    <rPr n="IsHeroField" t="b"/>
    <rPr n="ShouldShowInCell" t="b"/>
  </richProperties>
  <richStyles>
    <rSty dxfid="0"/>
    <rSty dxfid="1"/>
    <rSty>
      <rpv i="0">1</rpv>
    </rSty>
    <rSty>
      <rpv i="1">1</rpv>
    </rSty>
    <rSty dxfid="2"/>
    <rSty dxfid="3"/>
    <rSty dxfid="4"/>
    <rSty>
      <rpv i="2">1</rpv>
    </rSty>
    <rSty dxfid="5"/>
    <rSty dxfid="6"/>
    <rSty dxfid="7"/>
    <rSty dxfid="8"/>
    <rSty dxfid="9"/>
    <rSty dxfid="1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52A48A-72C8-4108-976A-A1B959AD3695}" name="Tabell1" displayName="Tabell1" ref="A1:P20" totalsRowShown="0" headerRowDxfId="19" headerRowBorderDxfId="18" tableBorderDxfId="17" totalsRowBorderDxfId="16" headerRowCellStyle="Neutral" dataCellStyle="60 % - Dekorfärg3">
  <autoFilter ref="A1:P20" xr:uid="{1F38F5D2-2C32-4A11-8AF6-D2E7C4910877}"/>
  <tableColumns count="16">
    <tableColumn id="1" xr3:uid="{E53D5D7B-8DFB-4A62-9DCA-8BE3FEB62C87}" name="Stock name               Devidend per stock" dataDxfId="15" dataCellStyle="60 % - Dekorfärg3"/>
    <tableColumn id="2" xr3:uid="{A22BE2EF-1741-4E06-BCF3-EBA5D040D863}" name="Jan" dataDxfId="14" dataCellStyle="60 % - Dekorfärg3"/>
    <tableColumn id="3" xr3:uid="{18F1A727-B9BE-4F75-B1DB-A86B2C1602BD}" name="Feb" dataDxfId="13" dataCellStyle="60 % - Dekorfärg3"/>
    <tableColumn id="4" xr3:uid="{7CC337E9-212C-420D-9C9D-ADD4A6EE0B6C}" name="Mar" dataDxfId="12" dataCellStyle="60 % - Dekorfärg3"/>
    <tableColumn id="5" xr3:uid="{3A2E4CEF-B47C-4F65-AB8A-B8ADB59CD6D4}" name="Apr" dataDxfId="11" dataCellStyle="60 % - Dekorfärg3"/>
    <tableColumn id="6" xr3:uid="{3C8C0771-AB4C-4863-88AB-D5BCD111D43F}" name="Maj" dataDxfId="10" dataCellStyle="60 % - Dekorfärg3"/>
    <tableColumn id="7" xr3:uid="{B4A752CA-AC94-4EB1-B1C2-D2201CBA1156}" name="Jun" dataDxfId="9" dataCellStyle="60 % - Dekorfärg3"/>
    <tableColumn id="8" xr3:uid="{4156C19C-76B0-4CC0-BEE5-5BDAE9CA304E}" name="Jul" dataDxfId="8" dataCellStyle="60 % - Dekorfärg3"/>
    <tableColumn id="9" xr3:uid="{2BC9BFE9-ADCD-4764-AE73-49DFC68A4F50}" name="Aug" dataDxfId="7" dataCellStyle="60 % - Dekorfärg3"/>
    <tableColumn id="10" xr3:uid="{9A82D59B-1D3D-4FDB-BD42-6B5E3D0C8670}" name="Sep" dataDxfId="6" dataCellStyle="60 % - Dekorfärg3"/>
    <tableColumn id="11" xr3:uid="{F99E8469-6C8F-4008-88F5-90F3BAFE4A9A}" name="Okt" dataDxfId="5" dataCellStyle="60 % - Dekorfärg3"/>
    <tableColumn id="12" xr3:uid="{2D1B510E-B930-49C7-A17B-AC77E583B94C}" name="Nov" dataDxfId="4" dataCellStyle="60 % - Dekorfärg3"/>
    <tableColumn id="13" xr3:uid="{E2FC9966-6BB4-4C2E-9F6D-5468F82235B8}" name="Dec" dataDxfId="3" dataCellStyle="60 % - Dekorfärg3"/>
    <tableColumn id="14" xr3:uid="{FBE26C0C-B078-43DB-AD0D-A1D76A235F88}" name="Amount of stocks" dataDxfId="2" dataCellStyle="60 % - Dekorfärg3"/>
    <tableColumn id="15" xr3:uid="{06B609A0-F474-4515-8398-27D18F39C034}" name="Total yearly devidend per stock*" dataDxfId="1" dataCellStyle="60 % - Dekorfärg3">
      <calculatedColumnFormula>SUM(B2:M2)*N2</calculatedColumnFormula>
    </tableColumn>
    <tableColumn id="17" xr3:uid="{609D66E5-DA77-4966-AB85-9C2CBCF4D484}" name="Previous close" dataDxfId="0" dataCellStyle="60 % - Dekorfärg3">
      <calculatedColumnFormula array="1">_FV(Tabell1[[#This Row],[Stock name               Devidend per stock]],"Previous close",TRUE)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DN21"/>
  <sheetViews>
    <sheetView tabSelected="1" zoomScaleNormal="100" workbookViewId="0">
      <selection activeCell="A21" sqref="A21"/>
    </sheetView>
  </sheetViews>
  <sheetFormatPr defaultRowHeight="15" x14ac:dyDescent="0.25"/>
  <cols>
    <col min="1" max="1" width="48.28515625" bestFit="1" customWidth="1"/>
    <col min="3" max="3" width="8.85546875" customWidth="1"/>
    <col min="4" max="4" width="9.85546875" customWidth="1"/>
    <col min="5" max="5" width="8.85546875" customWidth="1"/>
    <col min="6" max="6" width="9.42578125" customWidth="1"/>
    <col min="7" max="7" width="8.42578125" customWidth="1"/>
    <col min="8" max="8" width="7.42578125" customWidth="1"/>
    <col min="9" max="9" width="9.28515625" customWidth="1"/>
    <col min="10" max="10" width="9" customWidth="1"/>
    <col min="12" max="12" width="9.7109375" customWidth="1"/>
    <col min="14" max="14" width="32.5703125" bestFit="1" customWidth="1"/>
    <col min="15" max="15" width="57.5703125" bestFit="1" customWidth="1"/>
    <col min="16" max="16" width="27.42578125" bestFit="1" customWidth="1"/>
  </cols>
  <sheetData>
    <row r="1" spans="1:118" ht="31.5" x14ac:dyDescent="0.55000000000000004">
      <c r="A1" s="42" t="s">
        <v>34</v>
      </c>
      <c r="B1" s="6" t="s">
        <v>1</v>
      </c>
      <c r="C1" s="6" t="s">
        <v>0</v>
      </c>
      <c r="D1" s="6" t="s">
        <v>2</v>
      </c>
      <c r="E1" s="6" t="s">
        <v>3</v>
      </c>
      <c r="F1" s="6" t="s">
        <v>4</v>
      </c>
      <c r="G1" s="6" t="s">
        <v>5</v>
      </c>
      <c r="H1" s="6" t="s">
        <v>6</v>
      </c>
      <c r="I1" s="6" t="s">
        <v>7</v>
      </c>
      <c r="J1" s="6" t="s">
        <v>8</v>
      </c>
      <c r="K1" s="6" t="s">
        <v>9</v>
      </c>
      <c r="L1" s="6" t="s">
        <v>10</v>
      </c>
      <c r="M1" s="6" t="s">
        <v>11</v>
      </c>
      <c r="N1" s="6" t="s">
        <v>35</v>
      </c>
      <c r="O1" s="6" t="s">
        <v>36</v>
      </c>
      <c r="P1" s="6" t="s">
        <v>15</v>
      </c>
    </row>
    <row r="2" spans="1:118" x14ac:dyDescent="0.25">
      <c r="A2" s="4" t="e" vm="1">
        <v>#VALUE!</v>
      </c>
      <c r="B2" s="2"/>
      <c r="C2" s="2"/>
      <c r="D2" s="2"/>
      <c r="E2" s="2">
        <v>0.75</v>
      </c>
      <c r="F2" s="2"/>
      <c r="G2" s="2"/>
      <c r="H2" s="2"/>
      <c r="I2" s="2"/>
      <c r="J2" s="2"/>
      <c r="K2" s="2">
        <v>0.75</v>
      </c>
      <c r="L2" s="2"/>
      <c r="M2" s="2"/>
      <c r="N2" s="2">
        <v>28</v>
      </c>
      <c r="O2" s="2">
        <f t="shared" ref="O2:O9" si="0">SUM(B2:M2)*N2</f>
        <v>42</v>
      </c>
      <c r="P2" s="8" cm="1">
        <f t="array" ref="P2">_FV(Tabell1[[#This Row],[Stock name               Devidend per stock]],"Previous close",TRUE)</f>
        <v>86.46</v>
      </c>
    </row>
    <row r="3" spans="1:118" x14ac:dyDescent="0.25">
      <c r="A3" s="5" t="e" vm="2">
        <v>#VALUE!</v>
      </c>
      <c r="B3" s="1"/>
      <c r="C3" s="1"/>
      <c r="D3" s="1"/>
      <c r="E3" s="1"/>
      <c r="F3" s="1">
        <v>4.8499999999999996</v>
      </c>
      <c r="G3" s="1"/>
      <c r="H3" s="1"/>
      <c r="I3" s="1"/>
      <c r="J3" s="1"/>
      <c r="K3" s="1"/>
      <c r="L3" s="1">
        <v>4.8499999999999996</v>
      </c>
      <c r="M3" s="1"/>
      <c r="N3" s="1">
        <v>17</v>
      </c>
      <c r="O3" s="1">
        <f t="shared" si="0"/>
        <v>164.89999999999998</v>
      </c>
      <c r="P3" s="38" cm="1">
        <f t="array" ref="P3">_FV(Tabell1[[#This Row],[Stock name               Devidend per stock]],"Previous close",TRUE)</f>
        <v>137.65</v>
      </c>
    </row>
    <row r="4" spans="1:118" x14ac:dyDescent="0.25">
      <c r="A4" s="4" t="e" vm="3">
        <v>#VALUE!</v>
      </c>
      <c r="B4" s="2"/>
      <c r="C4" s="2"/>
      <c r="D4" s="2"/>
      <c r="E4" s="2"/>
      <c r="F4" s="2">
        <v>8</v>
      </c>
      <c r="G4" s="2"/>
      <c r="H4" s="2"/>
      <c r="I4" s="2"/>
      <c r="J4" s="2"/>
      <c r="K4" s="2"/>
      <c r="L4" s="2">
        <v>4</v>
      </c>
      <c r="M4" s="2"/>
      <c r="N4" s="2">
        <v>3</v>
      </c>
      <c r="O4" s="2">
        <f t="shared" si="0"/>
        <v>36</v>
      </c>
      <c r="P4" s="8" cm="1">
        <f t="array" ref="P4">_FV(Tabell1[[#This Row],[Stock name               Devidend per stock]],"Previous close",TRUE)</f>
        <v>506.2</v>
      </c>
    </row>
    <row r="5" spans="1:118" x14ac:dyDescent="0.25">
      <c r="A5" s="15" t="e" vm="4">
        <v>#VALUE!</v>
      </c>
      <c r="B5" s="16"/>
      <c r="C5" s="16">
        <v>5.5</v>
      </c>
      <c r="D5" s="16"/>
      <c r="E5" s="16"/>
      <c r="F5" s="16">
        <v>5.5</v>
      </c>
      <c r="G5" s="16"/>
      <c r="H5" s="16"/>
      <c r="I5" s="16">
        <v>5.5</v>
      </c>
      <c r="J5" s="16"/>
      <c r="K5" s="16"/>
      <c r="L5" s="16">
        <v>5.5</v>
      </c>
      <c r="M5" s="16"/>
      <c r="N5" s="16">
        <v>0</v>
      </c>
      <c r="O5" s="16">
        <f>SUM(B5:M5)*N5</f>
        <v>0</v>
      </c>
      <c r="P5" s="40" cm="1">
        <f t="array" ref="P5">_FV(Tabell1[[#This Row],[Stock name               Devidend per stock]],"Previous close",TRUE)</f>
        <v>595</v>
      </c>
    </row>
    <row r="6" spans="1:118" x14ac:dyDescent="0.25">
      <c r="A6" s="4" t="e" vm="5">
        <v>#VALUE!</v>
      </c>
      <c r="B6" s="2"/>
      <c r="C6" s="2"/>
      <c r="D6" s="2"/>
      <c r="E6" s="2"/>
      <c r="F6" s="2">
        <v>4</v>
      </c>
      <c r="G6" s="2"/>
      <c r="H6" s="2"/>
      <c r="I6" s="2"/>
      <c r="J6" s="2"/>
      <c r="K6" s="2"/>
      <c r="L6" s="2">
        <v>4</v>
      </c>
      <c r="M6" s="2"/>
      <c r="N6" s="2">
        <v>9</v>
      </c>
      <c r="O6" s="2">
        <f t="shared" si="0"/>
        <v>72</v>
      </c>
      <c r="P6" s="8" cm="1">
        <f t="array" ref="P6">_FV(Tabell1[[#This Row],[Stock name               Devidend per stock]],"Previous close",TRUE)</f>
        <v>263.3</v>
      </c>
    </row>
    <row r="7" spans="1:118" s="24" customFormat="1" x14ac:dyDescent="0.25">
      <c r="A7" s="5" t="e" vm="6">
        <v>#VALUE!</v>
      </c>
      <c r="B7" s="1"/>
      <c r="C7" s="1"/>
      <c r="D7" s="1"/>
      <c r="E7" s="1">
        <v>3.15</v>
      </c>
      <c r="F7" s="1"/>
      <c r="G7" s="1"/>
      <c r="H7" s="1"/>
      <c r="I7" s="1"/>
      <c r="J7" s="1"/>
      <c r="K7" s="1">
        <v>3.15</v>
      </c>
      <c r="L7" s="1"/>
      <c r="M7" s="1"/>
      <c r="N7" s="1">
        <v>0</v>
      </c>
      <c r="O7" s="1">
        <f>SUM(B7:M7)*N7</f>
        <v>0</v>
      </c>
      <c r="P7" s="38" cm="1">
        <f t="array" ref="P7">_FV(Tabell1[[#This Row],[Stock name               Devidend per stock]],"Previous close",TRUE)</f>
        <v>359</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row>
    <row r="8" spans="1:118" x14ac:dyDescent="0.25">
      <c r="A8" s="4" t="e" vm="7">
        <v>#VALUE!</v>
      </c>
      <c r="B8" s="2"/>
      <c r="C8" s="2">
        <v>6</v>
      </c>
      <c r="D8" s="2"/>
      <c r="E8" s="2"/>
      <c r="F8" s="2">
        <v>6</v>
      </c>
      <c r="G8" s="2"/>
      <c r="H8" s="2"/>
      <c r="I8" s="2">
        <v>6</v>
      </c>
      <c r="J8" s="2"/>
      <c r="K8" s="2"/>
      <c r="L8" s="2">
        <v>6</v>
      </c>
      <c r="M8" s="2"/>
      <c r="N8" s="2">
        <v>0</v>
      </c>
      <c r="O8" s="2">
        <f t="shared" si="0"/>
        <v>0</v>
      </c>
      <c r="P8" s="7" cm="1">
        <f t="array" ref="P8">_FV(Tabell1[[#This Row],[Stock name               Devidend per stock]],"Previous close",TRUE)*10</f>
        <v>305.7</v>
      </c>
    </row>
    <row r="9" spans="1:118" x14ac:dyDescent="0.25">
      <c r="A9" s="5" t="e" vm="8">
        <v>#VALUE!</v>
      </c>
      <c r="B9" s="1">
        <v>5</v>
      </c>
      <c r="C9" s="1"/>
      <c r="D9" s="1"/>
      <c r="E9" s="1">
        <v>5</v>
      </c>
      <c r="F9" s="1"/>
      <c r="G9" s="1"/>
      <c r="H9" s="1">
        <v>5</v>
      </c>
      <c r="I9" s="1"/>
      <c r="J9" s="1"/>
      <c r="K9" s="1">
        <v>5</v>
      </c>
      <c r="L9" s="1"/>
      <c r="M9" s="1"/>
      <c r="N9" s="1">
        <v>0</v>
      </c>
      <c r="O9" s="1">
        <f t="shared" si="0"/>
        <v>0</v>
      </c>
      <c r="P9" s="39" cm="1">
        <f t="array" ref="P9">_FV(Tabell1[[#This Row],[Stock name               Devidend per stock]],"Previous close",TRUE)*10</f>
        <v>301.3</v>
      </c>
    </row>
    <row r="10" spans="1:118" s="20" customFormat="1" x14ac:dyDescent="0.25">
      <c r="A10" s="4" t="e" vm="9">
        <v>#VALUE!</v>
      </c>
      <c r="B10" s="2"/>
      <c r="C10" s="2"/>
      <c r="D10" s="2"/>
      <c r="E10" s="2"/>
      <c r="F10" s="2"/>
      <c r="G10" s="2">
        <v>1.1000000000000001</v>
      </c>
      <c r="H10" s="2"/>
      <c r="I10" s="2"/>
      <c r="J10" s="2"/>
      <c r="K10" s="2"/>
      <c r="L10" s="2"/>
      <c r="M10" s="2">
        <v>1.1000000000000001</v>
      </c>
      <c r="N10" s="2">
        <v>0</v>
      </c>
      <c r="O10" s="2">
        <f>SUM(B10:M10)*N10</f>
        <v>0</v>
      </c>
      <c r="P10" s="8" cm="1">
        <f t="array" ref="P10">_FV(Tabell1[[#This Row],[Stock name               Devidend per stock]],"Previous close",TRUE)</f>
        <v>184.4</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row>
    <row r="11" spans="1:118" x14ac:dyDescent="0.25">
      <c r="A11" s="17" t="e" vm="10">
        <v>#VALUE!</v>
      </c>
      <c r="B11" s="18"/>
      <c r="C11" s="18"/>
      <c r="D11" s="18"/>
      <c r="E11" s="18">
        <v>4</v>
      </c>
      <c r="F11" s="18"/>
      <c r="G11" s="18"/>
      <c r="H11" s="18"/>
      <c r="I11" s="18"/>
      <c r="J11" s="18"/>
      <c r="K11" s="18"/>
      <c r="L11" s="18">
        <v>4</v>
      </c>
      <c r="M11" s="18"/>
      <c r="N11" s="18">
        <v>0</v>
      </c>
      <c r="O11" s="18">
        <f t="shared" ref="O11:O18" si="1">SUM(B11:M11)*N11</f>
        <v>0</v>
      </c>
      <c r="P11" s="19" cm="1">
        <f t="array" ref="P11">_FV(Tabell1[[#This Row],[Stock name               Devidend per stock]],"Previous close",TRUE)</f>
        <v>161</v>
      </c>
    </row>
    <row r="12" spans="1:118" x14ac:dyDescent="0.25">
      <c r="A12" s="21" t="e" vm="11">
        <v>#VALUE!</v>
      </c>
      <c r="B12" s="22"/>
      <c r="C12" s="22">
        <v>1.75</v>
      </c>
      <c r="D12" s="22"/>
      <c r="E12" s="22"/>
      <c r="F12" s="22">
        <v>1.75</v>
      </c>
      <c r="G12" s="22"/>
      <c r="H12" s="22"/>
      <c r="I12" s="22">
        <v>1.75</v>
      </c>
      <c r="J12" s="22"/>
      <c r="K12" s="22"/>
      <c r="L12" s="22">
        <v>1.75</v>
      </c>
      <c r="M12" s="22"/>
      <c r="N12" s="22">
        <v>11</v>
      </c>
      <c r="O12" s="22">
        <f>SUM(B12:M12)*N12</f>
        <v>77</v>
      </c>
      <c r="P12" s="23" cm="1">
        <f t="array" ref="P12">_FV(Tabell1[[#This Row],[Stock name               Devidend per stock]],"Previous close",TRUE)</f>
        <v>80</v>
      </c>
    </row>
    <row r="13" spans="1:118" s="20" customFormat="1" x14ac:dyDescent="0.25">
      <c r="A13" s="17" t="e" vm="12">
        <v>#VALUE!</v>
      </c>
      <c r="B13" s="18"/>
      <c r="C13" s="18"/>
      <c r="D13" s="18">
        <v>3.25</v>
      </c>
      <c r="E13" s="18"/>
      <c r="F13" s="18"/>
      <c r="G13" s="18"/>
      <c r="H13" s="18"/>
      <c r="I13" s="18"/>
      <c r="J13" s="18">
        <v>3.25</v>
      </c>
      <c r="K13" s="18"/>
      <c r="L13" s="18"/>
      <c r="M13" s="18"/>
      <c r="N13" s="18">
        <v>0</v>
      </c>
      <c r="O13" s="18">
        <f t="shared" si="1"/>
        <v>0</v>
      </c>
      <c r="P13" s="19" cm="1">
        <f t="array" ref="P13">_FV(Tabell1[[#This Row],[Stock name               Devidend per stock]],"Previous close",TRUE)</f>
        <v>176.2</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row>
    <row r="14" spans="1:118" s="24" customFormat="1" x14ac:dyDescent="0.25">
      <c r="A14" s="21" t="e" vm="13">
        <v>#VALUE!</v>
      </c>
      <c r="B14" s="22"/>
      <c r="C14" s="22"/>
      <c r="D14" s="22">
        <v>3.5</v>
      </c>
      <c r="E14" s="22"/>
      <c r="F14" s="22"/>
      <c r="G14" s="22"/>
      <c r="H14" s="22"/>
      <c r="I14" s="22"/>
      <c r="J14" s="22">
        <v>3.5</v>
      </c>
      <c r="K14" s="22"/>
      <c r="L14" s="22"/>
      <c r="M14" s="22"/>
      <c r="N14" s="22">
        <v>0</v>
      </c>
      <c r="O14" s="22">
        <f t="shared" si="1"/>
        <v>0</v>
      </c>
      <c r="P14" s="23" cm="1">
        <f t="array" ref="P14">_FV(Tabell1[[#This Row],[Stock name               Devidend per stock]],"Previous close",TRUE)</f>
        <v>201.8</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row>
    <row r="15" spans="1:118" s="20" customFormat="1" x14ac:dyDescent="0.25">
      <c r="A15" s="17" t="e" vm="14">
        <v>#VALUE!</v>
      </c>
      <c r="B15" s="18"/>
      <c r="C15" s="18"/>
      <c r="D15" s="18"/>
      <c r="E15" s="18">
        <v>14</v>
      </c>
      <c r="F15" s="18"/>
      <c r="G15" s="18"/>
      <c r="H15" s="18"/>
      <c r="I15" s="18"/>
      <c r="J15" s="18"/>
      <c r="K15" s="18"/>
      <c r="L15" s="18"/>
      <c r="M15" s="18"/>
      <c r="N15" s="18">
        <v>0</v>
      </c>
      <c r="O15" s="18">
        <f t="shared" si="1"/>
        <v>0</v>
      </c>
      <c r="P15" s="19" cm="1">
        <f t="array" ref="P15">_FV(Tabell1[[#This Row],[Stock name               Devidend per stock]],"Previous close",TRUE)</f>
        <v>133.38</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row>
    <row r="16" spans="1:118" s="24" customFormat="1" x14ac:dyDescent="0.25">
      <c r="A16" s="25" t="e" vm="15">
        <v>#VALUE!</v>
      </c>
      <c r="B16" s="26"/>
      <c r="C16" s="26"/>
      <c r="D16" s="26"/>
      <c r="E16" s="26"/>
      <c r="F16" s="26">
        <v>2.25</v>
      </c>
      <c r="G16" s="26"/>
      <c r="H16" s="26"/>
      <c r="I16" s="26"/>
      <c r="J16" s="26"/>
      <c r="K16" s="26"/>
      <c r="L16" s="26"/>
      <c r="M16" s="26"/>
      <c r="N16" s="26">
        <v>0</v>
      </c>
      <c r="O16" s="26">
        <f>SUM(B16:M16)*N16</f>
        <v>0</v>
      </c>
      <c r="P16" s="27" cm="1">
        <f t="array" ref="P16">_FV(Tabell1[[#This Row],[Stock name               Devidend per stock]],"Previous close",TRUE)</f>
        <v>172.3</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row>
    <row r="17" spans="1:118" s="20" customFormat="1" x14ac:dyDescent="0.25">
      <c r="A17" s="17" t="e" vm="16">
        <v>#VALUE!</v>
      </c>
      <c r="B17" s="18"/>
      <c r="C17" s="18"/>
      <c r="D17" s="18"/>
      <c r="E17" s="18"/>
      <c r="F17" s="18">
        <v>2</v>
      </c>
      <c r="G17" s="18"/>
      <c r="H17" s="18"/>
      <c r="I17" s="18"/>
      <c r="J17" s="18"/>
      <c r="K17" s="18"/>
      <c r="L17" s="18"/>
      <c r="M17" s="18"/>
      <c r="N17" s="18">
        <v>34</v>
      </c>
      <c r="O17" s="18">
        <f>SUM(B17:M17)*N17</f>
        <v>68</v>
      </c>
      <c r="P17" s="19" cm="1">
        <f t="array" ref="P17">_FV(Tabell1[[#This Row],[Stock name               Devidend per stock]],"Previous close",TRUE)</f>
        <v>26.46</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row>
    <row r="18" spans="1:118" s="24" customFormat="1" x14ac:dyDescent="0.25">
      <c r="A18" s="21" t="e" vm="17">
        <v>#VALUE!</v>
      </c>
      <c r="B18" s="22"/>
      <c r="C18" s="22"/>
      <c r="D18" s="22">
        <v>18</v>
      </c>
      <c r="E18" s="22"/>
      <c r="F18" s="22"/>
      <c r="G18" s="22"/>
      <c r="H18" s="22"/>
      <c r="I18" s="22"/>
      <c r="J18" s="22">
        <v>8.5</v>
      </c>
      <c r="K18" s="22"/>
      <c r="L18" s="22"/>
      <c r="M18" s="22"/>
      <c r="N18" s="22">
        <v>0</v>
      </c>
      <c r="O18" s="22">
        <f t="shared" si="1"/>
        <v>0</v>
      </c>
      <c r="P18" s="23" cm="1">
        <f t="array" ref="P18">_FV(Tabell1[[#This Row],[Stock name               Devidend per stock]],"Previous close",TRUE)</f>
        <v>991.4</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row>
    <row r="19" spans="1:118" s="20" customFormat="1" x14ac:dyDescent="0.25">
      <c r="A19" s="28" t="e" vm="18">
        <v>#VALUE!</v>
      </c>
      <c r="B19" s="18"/>
      <c r="C19" s="18"/>
      <c r="D19" s="18">
        <v>0.46</v>
      </c>
      <c r="E19" s="18"/>
      <c r="F19" s="18"/>
      <c r="G19" s="18">
        <v>0.46</v>
      </c>
      <c r="H19" s="18"/>
      <c r="I19" s="18"/>
      <c r="J19" s="18">
        <v>0.46</v>
      </c>
      <c r="K19" s="18"/>
      <c r="L19" s="18"/>
      <c r="M19" s="18">
        <v>0.46</v>
      </c>
      <c r="N19" s="18">
        <v>0</v>
      </c>
      <c r="O19" s="18">
        <f>SUM(B19:M19)*N19</f>
        <v>0</v>
      </c>
      <c r="P19" s="29" cm="1">
        <f t="array" ref="P19">_FV(Tabell1[[#This Row],[Stock name               Devidend per stock]],"Previous close",TRUE)</f>
        <v>14.81</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row>
    <row r="20" spans="1:118" x14ac:dyDescent="0.25">
      <c r="A20" s="41"/>
      <c r="B20" s="41"/>
      <c r="C20" s="41"/>
      <c r="D20" s="41"/>
      <c r="E20" s="41"/>
      <c r="F20" s="41"/>
      <c r="G20" s="41"/>
      <c r="H20" s="41"/>
      <c r="I20" s="41"/>
      <c r="J20" s="41"/>
      <c r="K20" s="41"/>
      <c r="L20" s="41"/>
      <c r="M20" s="41"/>
      <c r="N20" s="41"/>
      <c r="O20" s="41"/>
      <c r="P20" s="41"/>
    </row>
    <row r="21" spans="1:118" x14ac:dyDescent="0.25">
      <c r="A21" s="3" t="s">
        <v>37</v>
      </c>
      <c r="B21" s="14">
        <f>B2*N2+B3*N3+B4*N4+B17*N17+B6*N6+B12*N12+B8*N8+B9*N9+B16*N16+B5*N5+B11*N11+B10*N10+B7*N7+B13*N13+B14*N14+B15*N15+B18*N18+B19*N19</f>
        <v>0</v>
      </c>
      <c r="C21" s="3">
        <f>C2*N2+C3*N3+C4*N4+C17*N17+C6*N6+C12*N12+C8*N8+C9*N9+C16*N16+C5*N5+C11*N11+C10*N10+C7*N7+C13*N13+C14*N14+C15*N15+C18*N18+C19*N19</f>
        <v>19.25</v>
      </c>
      <c r="D21" s="3">
        <f>D2*N2+D3*N3+D4*N4+D17*N17+D6*N6+D12*N12+D8*N8+D9*N9+D16*N16+D5*N5+D11*N11+D10*N10+D7*N7+D13*N13+D14*N14+D15*N15+D18*N18+D19*N19</f>
        <v>0</v>
      </c>
      <c r="E21" s="3">
        <f>E2*N2+E3*N3+E4*N4+E17*N17+E6*N6+E12*N12+E8*N8+E9*N9+E16*N16+E5*N5+E11*N11+E10*N10+E7*N7+E13*N13+E14*N14+E15*N15+E18*N18+E19*N19</f>
        <v>21</v>
      </c>
      <c r="F21" s="3">
        <f>F2*N2+F3*N3+F4*N4+F17*N17+F6*N6+F12*N12+F8*N8+F9*N9+F16*N16+F5*N5+F11*N11+F10*N10+F7*N7+F13*N13+F14*N14+F15*N15+F18*N18+F19*N19</f>
        <v>229.7</v>
      </c>
      <c r="G21" s="3">
        <f>G2*N2+G3*N3+G4*N4+G17*N17+G6*N6+G12*N12+G8*N8+G9*N9+G16*N16+G5*N5+G11*N11+G10*N10+G7*N7+G13*N13+G14*N14+G15*N15+G18*N18+G19*N19</f>
        <v>0</v>
      </c>
      <c r="H21" s="3">
        <f>H2*N2+H3*N3+H4*N4+H17*N17+H6*N6+H12*N12+H8*N8+H9*N9+H16*N16+H5*N5+H11*N11+H10*N10+H7*N7+H13*N13+H14*N14+H15*N15+H18*N18+H19*N19</f>
        <v>0</v>
      </c>
      <c r="I21" s="3">
        <f>I2*N2+I3*N3+I4*N4+I17*N17+I6*N6+I12*N12+I8*N8+I9*N9+I16*N16+I5*N5+I11*N11+I10*N10+I7*N7+I13*N13+I14*N14+I15*N15+I18*N18+I19*N19</f>
        <v>19.25</v>
      </c>
      <c r="J21" s="3">
        <f>J2*N2+J3*N3+J4*N4+J17*N17+J6*N6+J12*N12+J8*N8+J9*N9+J16*N16+J5*N5+J11*N11+J10*N10+J7*N7+J13*N13+J14*N14+J15*N15+J18*N18+J19*N19</f>
        <v>0</v>
      </c>
      <c r="K21" s="3">
        <f>K2*N2+K3*N3+K4*N4+K17*N17+K6*N6+K12*N12+K8*N8+K9*N9+K16*N16+K5*N5+K11*N11+K10*N10+K7*N7+K13*N13+K14*N14+K15*N15+K18*N18+K19*N19</f>
        <v>21</v>
      </c>
      <c r="L21" s="3">
        <f>L2*N2+L3*N3+L4*N4+L17*N17+L6*N6+L12*N12+L8*N8+L9*N9+L16*N16+L5*N5+L11*N11+L10*N10+L7*N7+L13*N13+L14*N14+L15*N15+L18*N18+L19*N19</f>
        <v>149.69999999999999</v>
      </c>
      <c r="M21" s="3">
        <f>M2*N2+M3*N3+M4*N4+M17*N17+M6*N6+M12*N12+M8*N8+M9*N9+M16*N16+M5*N5+M11*N11+M10*N10+M7*N7+M13*N13+M14*N14+M15*N15+M18*N18+M19*N19</f>
        <v>0</v>
      </c>
      <c r="N21" s="3">
        <f>SUM(N2:N20)</f>
        <v>102</v>
      </c>
      <c r="O21" s="3">
        <f>SUM(O2:O19)</f>
        <v>459.9</v>
      </c>
    </row>
  </sheetData>
  <phoneticPr fontId="3" type="noConversion"/>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A0FA-7F5A-4054-944A-818344D765CC}">
  <sheetPr codeName="Blad2"/>
  <dimension ref="A1:P10"/>
  <sheetViews>
    <sheetView workbookViewId="0">
      <selection activeCell="D31" sqref="D31"/>
    </sheetView>
  </sheetViews>
  <sheetFormatPr defaultRowHeight="15" x14ac:dyDescent="0.25"/>
  <cols>
    <col min="1" max="1" width="48.28515625" bestFit="1" customWidth="1"/>
    <col min="16" max="16" width="25.140625" bestFit="1" customWidth="1"/>
    <col min="19" max="19" width="25.140625" bestFit="1" customWidth="1"/>
  </cols>
  <sheetData>
    <row r="1" spans="1:16" ht="26.25" x14ac:dyDescent="0.4">
      <c r="A1" s="9" t="s">
        <v>14</v>
      </c>
      <c r="B1" s="9" t="s">
        <v>1</v>
      </c>
      <c r="C1" s="9" t="s">
        <v>0</v>
      </c>
      <c r="D1" s="9" t="s">
        <v>2</v>
      </c>
      <c r="E1" s="9" t="s">
        <v>3</v>
      </c>
      <c r="F1" s="9" t="s">
        <v>4</v>
      </c>
      <c r="G1" s="9" t="s">
        <v>5</v>
      </c>
      <c r="H1" s="9" t="s">
        <v>6</v>
      </c>
      <c r="I1" s="9" t="s">
        <v>7</v>
      </c>
      <c r="J1" s="9" t="s">
        <v>8</v>
      </c>
      <c r="K1" s="9" t="s">
        <v>9</v>
      </c>
      <c r="L1" s="9" t="s">
        <v>10</v>
      </c>
      <c r="M1" s="9" t="s">
        <v>11</v>
      </c>
      <c r="N1" s="9" t="s">
        <v>12</v>
      </c>
      <c r="O1" s="9" t="s">
        <v>13</v>
      </c>
      <c r="P1" s="9" t="s">
        <v>15</v>
      </c>
    </row>
    <row r="2" spans="1:16" x14ac:dyDescent="0.25">
      <c r="A2" s="13" t="s">
        <v>18</v>
      </c>
      <c r="B2" s="10">
        <f>Overview!B2</f>
        <v>0</v>
      </c>
      <c r="C2" s="10">
        <f>Overview!C2</f>
        <v>0</v>
      </c>
      <c r="D2" s="10">
        <f>Overview!D2</f>
        <v>0</v>
      </c>
      <c r="E2" s="10">
        <f>Overview!E2</f>
        <v>0.75</v>
      </c>
      <c r="F2" s="10">
        <f>Overview!F2</f>
        <v>0</v>
      </c>
      <c r="G2" s="10">
        <f>Overview!G2</f>
        <v>0</v>
      </c>
      <c r="H2" s="10">
        <f>Overview!H2</f>
        <v>0</v>
      </c>
      <c r="I2" s="10">
        <f>Overview!I2</f>
        <v>0</v>
      </c>
      <c r="J2" s="10">
        <f>Overview!J2</f>
        <v>0</v>
      </c>
      <c r="K2" s="10">
        <f>Overview!K2</f>
        <v>0.75</v>
      </c>
      <c r="L2" s="10">
        <f>Overview!L2</f>
        <v>0</v>
      </c>
      <c r="M2" s="10">
        <f>Overview!M2</f>
        <v>0</v>
      </c>
      <c r="N2" s="10">
        <f>Overview!N2</f>
        <v>28</v>
      </c>
      <c r="O2" s="10">
        <f>Overview!O2</f>
        <v>42</v>
      </c>
      <c r="P2" s="38">
        <f>Overview!P2</f>
        <v>86.46</v>
      </c>
    </row>
    <row r="3" spans="1:16" x14ac:dyDescent="0.25">
      <c r="A3" s="37" t="s">
        <v>17</v>
      </c>
      <c r="B3" s="2">
        <f>Overview!B3</f>
        <v>0</v>
      </c>
      <c r="C3" s="2">
        <f>Overview!C3</f>
        <v>0</v>
      </c>
      <c r="D3" s="2">
        <f>Overview!D3</f>
        <v>0</v>
      </c>
      <c r="E3" s="2">
        <f>Overview!E3</f>
        <v>0</v>
      </c>
      <c r="F3" s="2">
        <f>Overview!F3</f>
        <v>4.8499999999999996</v>
      </c>
      <c r="G3" s="2">
        <f>Overview!G3</f>
        <v>0</v>
      </c>
      <c r="H3" s="2">
        <f>Overview!H3</f>
        <v>0</v>
      </c>
      <c r="I3" s="2">
        <f>Overview!I3</f>
        <v>0</v>
      </c>
      <c r="J3" s="2">
        <f>Overview!J3</f>
        <v>0</v>
      </c>
      <c r="K3" s="2">
        <f>Overview!K3</f>
        <v>0</v>
      </c>
      <c r="L3" s="2">
        <f>Overview!L3</f>
        <v>4.8499999999999996</v>
      </c>
      <c r="M3" s="2">
        <f>Overview!M3</f>
        <v>0</v>
      </c>
      <c r="N3" s="2">
        <f>Overview!N3</f>
        <v>17</v>
      </c>
      <c r="O3" s="2">
        <f>Overview!O3</f>
        <v>164.89999999999998</v>
      </c>
      <c r="P3" s="8">
        <f>Overview!P3</f>
        <v>137.65</v>
      </c>
    </row>
    <row r="4" spans="1:16" x14ac:dyDescent="0.25">
      <c r="A4" s="36" t="s">
        <v>22</v>
      </c>
      <c r="B4" s="1">
        <f>Overview!B4</f>
        <v>0</v>
      </c>
      <c r="C4" s="1">
        <f>Overview!C4</f>
        <v>0</v>
      </c>
      <c r="D4" s="1">
        <f>Overview!D4</f>
        <v>0</v>
      </c>
      <c r="E4" s="1">
        <f>Overview!E4</f>
        <v>0</v>
      </c>
      <c r="F4" s="1">
        <f>Overview!F4</f>
        <v>8</v>
      </c>
      <c r="G4" s="1">
        <f>Overview!G4</f>
        <v>0</v>
      </c>
      <c r="H4" s="1">
        <f>Overview!H4</f>
        <v>0</v>
      </c>
      <c r="I4" s="1">
        <f>Overview!I4</f>
        <v>0</v>
      </c>
      <c r="J4" s="1">
        <f>Overview!J4</f>
        <v>0</v>
      </c>
      <c r="K4" s="1">
        <f>Overview!K4</f>
        <v>0</v>
      </c>
      <c r="L4" s="1">
        <f>Overview!L4</f>
        <v>4</v>
      </c>
      <c r="M4" s="1">
        <f>Overview!M4</f>
        <v>0</v>
      </c>
      <c r="N4" s="1">
        <f>Overview!N4</f>
        <v>3</v>
      </c>
      <c r="O4" s="1">
        <f>Overview!O4</f>
        <v>36</v>
      </c>
      <c r="P4" s="38">
        <f>Overview!P4</f>
        <v>506.2</v>
      </c>
    </row>
    <row r="5" spans="1:16" x14ac:dyDescent="0.25">
      <c r="A5" s="11" t="s">
        <v>23</v>
      </c>
      <c r="B5" s="12">
        <f>Overview!B5</f>
        <v>0</v>
      </c>
      <c r="C5" s="12">
        <f>Overview!C5</f>
        <v>5.5</v>
      </c>
      <c r="D5" s="12">
        <f>Overview!D5</f>
        <v>0</v>
      </c>
      <c r="E5" s="12">
        <f>Overview!E5</f>
        <v>0</v>
      </c>
      <c r="F5" s="12">
        <f>Overview!F5</f>
        <v>5.5</v>
      </c>
      <c r="G5" s="12">
        <f>Overview!G5</f>
        <v>0</v>
      </c>
      <c r="H5" s="12">
        <f>Overview!H5</f>
        <v>0</v>
      </c>
      <c r="I5" s="12">
        <f>Overview!I5</f>
        <v>5.5</v>
      </c>
      <c r="J5" s="12">
        <f>Overview!J5</f>
        <v>0</v>
      </c>
      <c r="K5" s="12">
        <f>Overview!K5</f>
        <v>0</v>
      </c>
      <c r="L5" s="12">
        <f>Overview!L5</f>
        <v>5.5</v>
      </c>
      <c r="M5" s="12">
        <f>Overview!M5</f>
        <v>0</v>
      </c>
      <c r="N5" s="12">
        <f>Overview!N5</f>
        <v>0</v>
      </c>
      <c r="O5" s="12">
        <f>Overview!O5</f>
        <v>0</v>
      </c>
      <c r="P5" s="7">
        <f>Overview!P5</f>
        <v>595</v>
      </c>
    </row>
    <row r="6" spans="1:16" x14ac:dyDescent="0.25">
      <c r="A6" s="36" t="s">
        <v>24</v>
      </c>
      <c r="B6" s="1">
        <f>Overview!B6</f>
        <v>0</v>
      </c>
      <c r="C6" s="1">
        <f>Overview!C6</f>
        <v>0</v>
      </c>
      <c r="D6" s="1">
        <f>Overview!D6</f>
        <v>0</v>
      </c>
      <c r="E6" s="1">
        <f>Overview!E6</f>
        <v>0</v>
      </c>
      <c r="F6" s="1">
        <f>Overview!F6</f>
        <v>4</v>
      </c>
      <c r="G6" s="1">
        <f>Overview!G6</f>
        <v>0</v>
      </c>
      <c r="H6" s="1">
        <f>Overview!H6</f>
        <v>0</v>
      </c>
      <c r="I6" s="1">
        <f>Overview!I6</f>
        <v>0</v>
      </c>
      <c r="J6" s="1">
        <f>Overview!J6</f>
        <v>0</v>
      </c>
      <c r="K6" s="1">
        <f>Overview!K6</f>
        <v>0</v>
      </c>
      <c r="L6" s="1">
        <f>Overview!L6</f>
        <v>4</v>
      </c>
      <c r="M6" s="1">
        <f>Overview!M6</f>
        <v>0</v>
      </c>
      <c r="N6" s="1">
        <f>Overview!N6</f>
        <v>9</v>
      </c>
      <c r="O6" s="1">
        <f>Overview!O6</f>
        <v>72</v>
      </c>
      <c r="P6" s="38">
        <f>Overview!P6</f>
        <v>263.3</v>
      </c>
    </row>
    <row r="7" spans="1:16" x14ac:dyDescent="0.25">
      <c r="A7" s="37" t="s">
        <v>28</v>
      </c>
      <c r="B7" s="2">
        <f>Overview!B7</f>
        <v>0</v>
      </c>
      <c r="C7" s="2">
        <f>Overview!C7</f>
        <v>0</v>
      </c>
      <c r="D7" s="2">
        <f>Overview!D7</f>
        <v>0</v>
      </c>
      <c r="E7" s="2">
        <f>Overview!E7</f>
        <v>3.15</v>
      </c>
      <c r="F7" s="2">
        <f>Overview!F7</f>
        <v>0</v>
      </c>
      <c r="G7" s="2">
        <f>Overview!G7</f>
        <v>0</v>
      </c>
      <c r="H7" s="2">
        <f>Overview!H7</f>
        <v>0</v>
      </c>
      <c r="I7" s="2">
        <f>Overview!I7</f>
        <v>0</v>
      </c>
      <c r="J7" s="2">
        <f>Overview!J7</f>
        <v>0</v>
      </c>
      <c r="K7" s="2">
        <f>Overview!K7</f>
        <v>3.15</v>
      </c>
      <c r="L7" s="2">
        <f>Overview!L7</f>
        <v>0</v>
      </c>
      <c r="M7" s="2">
        <f>Overview!M7</f>
        <v>0</v>
      </c>
      <c r="N7" s="2">
        <f>Overview!N7</f>
        <v>0</v>
      </c>
      <c r="O7" s="2">
        <f>Overview!O7</f>
        <v>0</v>
      </c>
      <c r="P7" s="8">
        <f>Overview!P7</f>
        <v>359</v>
      </c>
    </row>
    <row r="8" spans="1:16" x14ac:dyDescent="0.25">
      <c r="A8" s="13" t="s">
        <v>16</v>
      </c>
      <c r="B8" s="10">
        <f>Overview!B8</f>
        <v>0</v>
      </c>
      <c r="C8" s="10">
        <f>Overview!C8</f>
        <v>6</v>
      </c>
      <c r="D8" s="10">
        <f>Overview!D8</f>
        <v>0</v>
      </c>
      <c r="E8" s="10">
        <f>Overview!E8</f>
        <v>0</v>
      </c>
      <c r="F8" s="10">
        <f>Overview!F8</f>
        <v>6</v>
      </c>
      <c r="G8" s="10">
        <f>Overview!G8</f>
        <v>0</v>
      </c>
      <c r="H8" s="10">
        <f>Overview!H8</f>
        <v>0</v>
      </c>
      <c r="I8" s="10">
        <f>Overview!I8</f>
        <v>6</v>
      </c>
      <c r="J8" s="10">
        <f>Overview!J8</f>
        <v>0</v>
      </c>
      <c r="K8" s="10">
        <f>Overview!K8</f>
        <v>0</v>
      </c>
      <c r="L8" s="10">
        <f>Overview!L8</f>
        <v>6</v>
      </c>
      <c r="M8" s="10">
        <f>Overview!M8</f>
        <v>0</v>
      </c>
      <c r="N8" s="10">
        <f>Overview!N8</f>
        <v>0</v>
      </c>
      <c r="O8" s="10">
        <f>Overview!O8</f>
        <v>0</v>
      </c>
      <c r="P8" s="38">
        <f>Overview!P8</f>
        <v>305.7</v>
      </c>
    </row>
    <row r="9" spans="1:16" x14ac:dyDescent="0.25">
      <c r="A9" s="37" t="s">
        <v>21</v>
      </c>
      <c r="B9" s="2">
        <f>Overview!B9</f>
        <v>5</v>
      </c>
      <c r="C9" s="2">
        <f>Overview!C9</f>
        <v>0</v>
      </c>
      <c r="D9" s="2">
        <f>Overview!D9</f>
        <v>0</v>
      </c>
      <c r="E9" s="2">
        <f>Overview!E9</f>
        <v>5</v>
      </c>
      <c r="F9" s="2">
        <f>Overview!F9</f>
        <v>0</v>
      </c>
      <c r="G9" s="2">
        <f>Overview!G9</f>
        <v>0</v>
      </c>
      <c r="H9" s="2">
        <f>Overview!H9</f>
        <v>5</v>
      </c>
      <c r="I9" s="2">
        <f>Overview!I9</f>
        <v>0</v>
      </c>
      <c r="J9" s="2">
        <f>Overview!J9</f>
        <v>0</v>
      </c>
      <c r="K9" s="2">
        <f>Overview!K9</f>
        <v>5</v>
      </c>
      <c r="L9" s="2">
        <f>Overview!L9</f>
        <v>0</v>
      </c>
      <c r="M9" s="2">
        <f>Overview!M9</f>
        <v>0</v>
      </c>
      <c r="N9" s="2">
        <f>Overview!N9</f>
        <v>0</v>
      </c>
      <c r="O9" s="2">
        <f>Overview!O9</f>
        <v>0</v>
      </c>
      <c r="P9" s="8">
        <f>Overview!P9</f>
        <v>301.3</v>
      </c>
    </row>
    <row r="10" spans="1:16" x14ac:dyDescent="0.25">
      <c r="A10" s="36" t="s">
        <v>27</v>
      </c>
      <c r="B10" s="1">
        <f>Overview!B10</f>
        <v>0</v>
      </c>
      <c r="C10" s="1">
        <f>Overview!C10</f>
        <v>0</v>
      </c>
      <c r="D10" s="1">
        <f>Overview!D10</f>
        <v>0</v>
      </c>
      <c r="E10" s="1">
        <f>Overview!E10</f>
        <v>0</v>
      </c>
      <c r="F10" s="1">
        <f>Overview!F10</f>
        <v>0</v>
      </c>
      <c r="G10" s="1">
        <f>Overview!G10</f>
        <v>1.1000000000000001</v>
      </c>
      <c r="H10" s="1">
        <f>Overview!H10</f>
        <v>0</v>
      </c>
      <c r="I10" s="1">
        <f>Overview!I10</f>
        <v>0</v>
      </c>
      <c r="J10" s="1">
        <f>Overview!J10</f>
        <v>0</v>
      </c>
      <c r="K10" s="1">
        <f>Overview!K10</f>
        <v>0</v>
      </c>
      <c r="L10" s="1">
        <f>Overview!L10</f>
        <v>0</v>
      </c>
      <c r="M10" s="1">
        <f>Overview!M10</f>
        <v>1.1000000000000001</v>
      </c>
      <c r="N10" s="1">
        <f>Overview!N10</f>
        <v>0</v>
      </c>
      <c r="O10" s="1">
        <f>Overview!O10</f>
        <v>0</v>
      </c>
      <c r="P10" s="38">
        <f>Overview!P10</f>
        <v>184.4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5E3A-19D0-47B9-867F-49E3EDE141F8}">
  <dimension ref="A1:P10"/>
  <sheetViews>
    <sheetView workbookViewId="0">
      <selection activeCell="J11" sqref="J11"/>
    </sheetView>
  </sheetViews>
  <sheetFormatPr defaultRowHeight="15" x14ac:dyDescent="0.25"/>
  <cols>
    <col min="1" max="1" width="48.28515625" bestFit="1" customWidth="1"/>
    <col min="16" max="16" width="25.140625" bestFit="1" customWidth="1"/>
    <col min="19" max="19" width="25.7109375" bestFit="1" customWidth="1"/>
  </cols>
  <sheetData>
    <row r="1" spans="1:16" ht="26.25" x14ac:dyDescent="0.4">
      <c r="A1" s="9" t="s">
        <v>14</v>
      </c>
      <c r="B1" s="9" t="s">
        <v>1</v>
      </c>
      <c r="C1" s="9" t="s">
        <v>0</v>
      </c>
      <c r="D1" s="9" t="s">
        <v>2</v>
      </c>
      <c r="E1" s="9" t="s">
        <v>3</v>
      </c>
      <c r="F1" s="9" t="s">
        <v>4</v>
      </c>
      <c r="G1" s="9" t="s">
        <v>5</v>
      </c>
      <c r="H1" s="9" t="s">
        <v>6</v>
      </c>
      <c r="I1" s="9" t="s">
        <v>7</v>
      </c>
      <c r="J1" s="9" t="s">
        <v>8</v>
      </c>
      <c r="K1" s="9" t="s">
        <v>9</v>
      </c>
      <c r="L1" s="9" t="s">
        <v>10</v>
      </c>
      <c r="M1" s="9" t="s">
        <v>11</v>
      </c>
      <c r="N1" s="9" t="s">
        <v>12</v>
      </c>
      <c r="O1" s="9" t="s">
        <v>13</v>
      </c>
      <c r="P1" s="9" t="s">
        <v>15</v>
      </c>
    </row>
    <row r="2" spans="1:16" x14ac:dyDescent="0.25">
      <c r="A2" s="31" t="s">
        <v>26</v>
      </c>
      <c r="B2" s="18">
        <f>Overview!B11</f>
        <v>0</v>
      </c>
      <c r="C2" s="18">
        <f>Overview!C11</f>
        <v>0</v>
      </c>
      <c r="D2" s="18">
        <f>Overview!D11</f>
        <v>0</v>
      </c>
      <c r="E2" s="18">
        <f>Overview!E11</f>
        <v>4</v>
      </c>
      <c r="F2" s="18">
        <f>Overview!F11</f>
        <v>0</v>
      </c>
      <c r="G2" s="18">
        <f>Overview!G11</f>
        <v>0</v>
      </c>
      <c r="H2" s="18">
        <f>Overview!H11</f>
        <v>0</v>
      </c>
      <c r="I2" s="18">
        <f>Overview!I11</f>
        <v>0</v>
      </c>
      <c r="J2" s="18">
        <f>Overview!J11</f>
        <v>0</v>
      </c>
      <c r="K2" s="18">
        <f>Overview!K11</f>
        <v>0</v>
      </c>
      <c r="L2" s="18">
        <f>Overview!L11</f>
        <v>4</v>
      </c>
      <c r="M2" s="18">
        <f>Overview!M11</f>
        <v>0</v>
      </c>
      <c r="N2" s="18">
        <f>Overview!N11</f>
        <v>0</v>
      </c>
      <c r="O2" s="18">
        <f>Overview!O11</f>
        <v>0</v>
      </c>
      <c r="P2" s="19">
        <f>Overview!P11</f>
        <v>161</v>
      </c>
    </row>
    <row r="3" spans="1:16" x14ac:dyDescent="0.25">
      <c r="A3" s="33" t="s">
        <v>25</v>
      </c>
      <c r="B3" s="22">
        <f>Overview!B12</f>
        <v>0</v>
      </c>
      <c r="C3" s="22">
        <f>Overview!C12</f>
        <v>1.75</v>
      </c>
      <c r="D3" s="22">
        <f>Overview!D12</f>
        <v>0</v>
      </c>
      <c r="E3" s="22">
        <f>Overview!E12</f>
        <v>0</v>
      </c>
      <c r="F3" s="22">
        <f>Overview!F12</f>
        <v>1.75</v>
      </c>
      <c r="G3" s="22">
        <f>Overview!G12</f>
        <v>0</v>
      </c>
      <c r="H3" s="22">
        <f>Overview!H12</f>
        <v>0</v>
      </c>
      <c r="I3" s="22">
        <f>Overview!I12</f>
        <v>1.75</v>
      </c>
      <c r="J3" s="22">
        <f>Overview!J12</f>
        <v>0</v>
      </c>
      <c r="K3" s="22">
        <f>Overview!K12</f>
        <v>0</v>
      </c>
      <c r="L3" s="22">
        <f>Overview!L12</f>
        <v>1.75</v>
      </c>
      <c r="M3" s="22">
        <f>Overview!M12</f>
        <v>0</v>
      </c>
      <c r="N3" s="22">
        <f>Overview!N12</f>
        <v>11</v>
      </c>
      <c r="O3" s="22">
        <f>Overview!O12</f>
        <v>77</v>
      </c>
      <c r="P3" s="23">
        <f>Overview!P12</f>
        <v>80</v>
      </c>
    </row>
    <row r="4" spans="1:16" x14ac:dyDescent="0.25">
      <c r="A4" s="30" t="s">
        <v>29</v>
      </c>
      <c r="B4" s="18">
        <f>Overview!B13</f>
        <v>0</v>
      </c>
      <c r="C4" s="18">
        <f>Overview!C13</f>
        <v>0</v>
      </c>
      <c r="D4" s="18">
        <f>Overview!D13</f>
        <v>3.25</v>
      </c>
      <c r="E4" s="18">
        <f>Overview!E13</f>
        <v>0</v>
      </c>
      <c r="F4" s="18">
        <f>Overview!F13</f>
        <v>0</v>
      </c>
      <c r="G4" s="18">
        <f>Overview!G13</f>
        <v>0</v>
      </c>
      <c r="H4" s="18">
        <f>Overview!H13</f>
        <v>0</v>
      </c>
      <c r="I4" s="18">
        <f>Overview!I13</f>
        <v>0</v>
      </c>
      <c r="J4" s="18">
        <f>Overview!J13</f>
        <v>3.25</v>
      </c>
      <c r="K4" s="18">
        <f>Overview!K13</f>
        <v>0</v>
      </c>
      <c r="L4" s="18">
        <f>Overview!L13</f>
        <v>0</v>
      </c>
      <c r="M4" s="18">
        <f>Overview!M13</f>
        <v>0</v>
      </c>
      <c r="N4" s="18">
        <f>Overview!N13</f>
        <v>0</v>
      </c>
      <c r="O4" s="18">
        <f>Overview!O13</f>
        <v>0</v>
      </c>
      <c r="P4" s="19">
        <f>Overview!P13</f>
        <v>176.2</v>
      </c>
    </row>
    <row r="5" spans="1:16" x14ac:dyDescent="0.25">
      <c r="A5" s="33" t="s">
        <v>30</v>
      </c>
      <c r="B5" s="22">
        <f>Overview!B14</f>
        <v>0</v>
      </c>
      <c r="C5" s="22">
        <f>Overview!C14</f>
        <v>0</v>
      </c>
      <c r="D5" s="22">
        <f>Overview!D14</f>
        <v>3.5</v>
      </c>
      <c r="E5" s="22">
        <f>Overview!E14</f>
        <v>0</v>
      </c>
      <c r="F5" s="22">
        <f>Overview!F14</f>
        <v>0</v>
      </c>
      <c r="G5" s="22">
        <f>Overview!G14</f>
        <v>0</v>
      </c>
      <c r="H5" s="22">
        <f>Overview!H14</f>
        <v>0</v>
      </c>
      <c r="I5" s="22">
        <f>Overview!I14</f>
        <v>0</v>
      </c>
      <c r="J5" s="22">
        <f>Overview!J14</f>
        <v>3.5</v>
      </c>
      <c r="K5" s="22">
        <f>Overview!K14</f>
        <v>0</v>
      </c>
      <c r="L5" s="22">
        <f>Overview!L14</f>
        <v>0</v>
      </c>
      <c r="M5" s="22">
        <f>Overview!M14</f>
        <v>0</v>
      </c>
      <c r="N5" s="22">
        <f>Overview!N14</f>
        <v>0</v>
      </c>
      <c r="O5" s="22">
        <f>Overview!O14</f>
        <v>0</v>
      </c>
      <c r="P5" s="34">
        <f>Overview!P14</f>
        <v>201.8</v>
      </c>
    </row>
    <row r="6" spans="1:16" x14ac:dyDescent="0.25">
      <c r="A6" s="31" t="s">
        <v>31</v>
      </c>
      <c r="B6" s="18">
        <f>Overview!B15</f>
        <v>0</v>
      </c>
      <c r="C6" s="18">
        <f>Overview!C15</f>
        <v>0</v>
      </c>
      <c r="D6" s="18">
        <f>Overview!D15</f>
        <v>0</v>
      </c>
      <c r="E6" s="18">
        <f>Overview!E15</f>
        <v>14</v>
      </c>
      <c r="F6" s="18">
        <f>Overview!F15</f>
        <v>0</v>
      </c>
      <c r="G6" s="18">
        <f>Overview!G15</f>
        <v>0</v>
      </c>
      <c r="H6" s="18">
        <f>Overview!H15</f>
        <v>0</v>
      </c>
      <c r="I6" s="18">
        <f>Overview!I15</f>
        <v>0</v>
      </c>
      <c r="J6" s="18">
        <f>Overview!J15</f>
        <v>0</v>
      </c>
      <c r="K6" s="18">
        <f>Overview!K15</f>
        <v>0</v>
      </c>
      <c r="L6" s="18">
        <f>Overview!L15</f>
        <v>0</v>
      </c>
      <c r="M6" s="18">
        <f>Overview!M15</f>
        <v>0</v>
      </c>
      <c r="N6" s="18">
        <f>Overview!N15</f>
        <v>0</v>
      </c>
      <c r="O6" s="18">
        <f>Overview!O15</f>
        <v>0</v>
      </c>
      <c r="P6" s="19">
        <f>Overview!P15</f>
        <v>133.38</v>
      </c>
    </row>
    <row r="7" spans="1:16" x14ac:dyDescent="0.25">
      <c r="A7" s="35" t="s">
        <v>20</v>
      </c>
      <c r="B7" s="22">
        <f>Overview!B16</f>
        <v>0</v>
      </c>
      <c r="C7" s="22">
        <f>Overview!C16</f>
        <v>0</v>
      </c>
      <c r="D7" s="22">
        <f>Overview!D16</f>
        <v>0</v>
      </c>
      <c r="E7" s="22">
        <f>Overview!E16</f>
        <v>0</v>
      </c>
      <c r="F7" s="22">
        <f>Overview!F16</f>
        <v>2.25</v>
      </c>
      <c r="G7" s="22">
        <f>Overview!G16</f>
        <v>0</v>
      </c>
      <c r="H7" s="22">
        <f>Overview!H16</f>
        <v>0</v>
      </c>
      <c r="I7" s="22">
        <f>Overview!I16</f>
        <v>0</v>
      </c>
      <c r="J7" s="22">
        <f>Overview!J16</f>
        <v>0</v>
      </c>
      <c r="K7" s="22">
        <f>Overview!K16</f>
        <v>0</v>
      </c>
      <c r="L7" s="22">
        <f>Overview!L16</f>
        <v>0</v>
      </c>
      <c r="M7" s="22">
        <f>Overview!M16</f>
        <v>0</v>
      </c>
      <c r="N7" s="22">
        <f>Overview!N16</f>
        <v>0</v>
      </c>
      <c r="O7" s="22">
        <f>Overview!O16</f>
        <v>0</v>
      </c>
      <c r="P7" s="23">
        <f>Overview!P16</f>
        <v>172.3</v>
      </c>
    </row>
    <row r="8" spans="1:16" x14ac:dyDescent="0.25">
      <c r="A8" s="31" t="s">
        <v>19</v>
      </c>
      <c r="B8" s="18">
        <f>Overview!B17</f>
        <v>0</v>
      </c>
      <c r="C8" s="18">
        <f>Overview!C17</f>
        <v>0</v>
      </c>
      <c r="D8" s="18">
        <f>Overview!D17</f>
        <v>0</v>
      </c>
      <c r="E8" s="18">
        <f>Overview!E17</f>
        <v>0</v>
      </c>
      <c r="F8" s="18">
        <f>Overview!F17</f>
        <v>2</v>
      </c>
      <c r="G8" s="18">
        <f>Overview!G17</f>
        <v>0</v>
      </c>
      <c r="H8" s="18">
        <f>Overview!H17</f>
        <v>0</v>
      </c>
      <c r="I8" s="18">
        <f>Overview!I17</f>
        <v>0</v>
      </c>
      <c r="J8" s="18">
        <f>Overview!J17</f>
        <v>0</v>
      </c>
      <c r="K8" s="18">
        <f>Overview!K17</f>
        <v>0</v>
      </c>
      <c r="L8" s="18">
        <f>Overview!L17</f>
        <v>0</v>
      </c>
      <c r="M8" s="18">
        <f>Overview!M17</f>
        <v>0</v>
      </c>
      <c r="N8" s="18">
        <f>Overview!N17</f>
        <v>34</v>
      </c>
      <c r="O8" s="18">
        <f>Overview!O17</f>
        <v>68</v>
      </c>
      <c r="P8" s="19">
        <f>Overview!P17</f>
        <v>26.46</v>
      </c>
    </row>
    <row r="9" spans="1:16" x14ac:dyDescent="0.25">
      <c r="A9" s="33" t="s">
        <v>32</v>
      </c>
      <c r="B9" s="22">
        <f>Overview!B18</f>
        <v>0</v>
      </c>
      <c r="C9" s="22">
        <f>Overview!C18</f>
        <v>0</v>
      </c>
      <c r="D9" s="22">
        <f>Overview!D18</f>
        <v>18</v>
      </c>
      <c r="E9" s="22">
        <f>Overview!E18</f>
        <v>0</v>
      </c>
      <c r="F9" s="22">
        <f>Overview!F18</f>
        <v>0</v>
      </c>
      <c r="G9" s="22">
        <f>Overview!G18</f>
        <v>0</v>
      </c>
      <c r="H9" s="22">
        <f>Overview!H18</f>
        <v>0</v>
      </c>
      <c r="I9" s="22">
        <f>Overview!I18</f>
        <v>0</v>
      </c>
      <c r="J9" s="22">
        <f>Overview!J18</f>
        <v>8.5</v>
      </c>
      <c r="K9" s="22">
        <f>Overview!K18</f>
        <v>0</v>
      </c>
      <c r="L9" s="22">
        <f>Overview!L18</f>
        <v>0</v>
      </c>
      <c r="M9" s="22">
        <f>Overview!M18</f>
        <v>0</v>
      </c>
      <c r="N9" s="22">
        <f>Overview!N18</f>
        <v>0</v>
      </c>
      <c r="O9" s="22">
        <f>Overview!O18</f>
        <v>0</v>
      </c>
      <c r="P9" s="23">
        <f>Overview!P18</f>
        <v>991.4</v>
      </c>
    </row>
    <row r="10" spans="1:16" x14ac:dyDescent="0.25">
      <c r="A10" s="32" t="s">
        <v>33</v>
      </c>
      <c r="B10" s="18">
        <f>Overview!B19</f>
        <v>0</v>
      </c>
      <c r="C10" s="18">
        <f>Overview!C19</f>
        <v>0</v>
      </c>
      <c r="D10" s="18">
        <f>Overview!D19</f>
        <v>0.46</v>
      </c>
      <c r="E10" s="18">
        <f>Overview!E19</f>
        <v>0</v>
      </c>
      <c r="F10" s="18">
        <f>Overview!F19</f>
        <v>0</v>
      </c>
      <c r="G10" s="18">
        <f>Overview!G19</f>
        <v>0.46</v>
      </c>
      <c r="H10" s="18">
        <f>Overview!H19</f>
        <v>0</v>
      </c>
      <c r="I10" s="18">
        <f>Overview!I19</f>
        <v>0</v>
      </c>
      <c r="J10" s="18">
        <f>Overview!J19</f>
        <v>0.46</v>
      </c>
      <c r="K10" s="18">
        <f>Overview!K19</f>
        <v>0</v>
      </c>
      <c r="L10" s="18">
        <f>Overview!L19</f>
        <v>0</v>
      </c>
      <c r="M10" s="18">
        <f>Overview!M19</f>
        <v>0.46</v>
      </c>
      <c r="N10" s="18">
        <f>Overview!N19</f>
        <v>0</v>
      </c>
      <c r="O10" s="18">
        <f>Overview!O19</f>
        <v>0</v>
      </c>
      <c r="P10" s="19">
        <f>Overview!P19</f>
        <v>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vt:i4>
      </vt:variant>
    </vt:vector>
  </HeadingPairs>
  <TitlesOfParts>
    <vt:vector size="3" baseType="lpstr">
      <vt:lpstr>Overview</vt:lpstr>
      <vt:lpstr>Python</vt:lpstr>
      <vt:lpstr>Python2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Zacharias Hultman</dc:creator>
  <cp:lastModifiedBy>Zacharias Hultman</cp:lastModifiedBy>
  <dcterms:created xsi:type="dcterms:W3CDTF">2020-07-13T16:10:43Z</dcterms:created>
  <dcterms:modified xsi:type="dcterms:W3CDTF">2020-08-18T11:27:29Z</dcterms:modified>
</cp:coreProperties>
</file>